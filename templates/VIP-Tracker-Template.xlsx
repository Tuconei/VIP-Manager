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03b24558014e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P Signups" sheetId="1" r:id="R691656c503a04ea8"/>
    <x:sheet xmlns:r="http://schemas.openxmlformats.org/officeDocument/2006/relationships" name="Plugin Export" sheetId="2" r:id="R181c08ac38e8430f"/>
    <x:sheet xmlns:r="http://schemas.openxmlformats.org/officeDocument/2006/relationships" name="Setup Guide" sheetId="3" r:id="Ra155932ce0ed4678"/>
    <x:sheet xmlns:r="http://schemas.openxmlformats.org/officeDocument/2006/relationships" name="Lists" sheetId="4" r:id="R8a8c23e6719f4d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sz val="10"/>
      <x:color rgb="FF1F2937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1F2937"/>
      <x:name val="Carlito"/>
    </x:font>
    <x:font>
      <x:b/>
      <x:sz val="11"/>
      <x:color rgb="FFB7791F"/>
      <x:name val="Carlito"/>
    </x:font>
    <x:font>
      <x:b/>
      <x:sz val="18"/>
      <x:color rgb="FF1F2937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2304A"/>
      </x:patternFill>
    </x:fill>
    <x:fill>
      <x:patternFill patternType="solid">
        <x:fgColor rgb="FFEAF2F8"/>
      </x:patternFill>
    </x:fill>
    <x:fill>
      <x:patternFill patternType="solid">
        <x:fgColor rgb="FF1F7A7A"/>
      </x:patternFill>
    </x:fill>
    <x:fill>
      <x:patternFill patternType="solid">
        <x:fgColor rgb="FFFFFFFF"/>
      </x:patternFill>
    </x:fill>
    <x:fill>
      <x:patternFill patternType="solid">
        <x:fgColor rgb="FFFFF4DE"/>
      </x:patternFill>
    </x:fill>
  </x:fills>
  <x:borders count="2">
    <x:border/>
    <x:border>
      <x:left style="thin">
        <x:color rgb="FFD8DEE8"/>
      </x:left>
      <x:right style="thin">
        <x:color rgb="FFD8DEE8"/>
      </x:right>
      <x:top style="thin">
        <x:color rgb="FFD8DEE8"/>
      </x:top>
      <x:bottom style="thin">
        <x:color rgb="FFD8DEE8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4" borderId="1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4">
    <x:dxf>
      <x:font>
        <x:b/>
        <x:color rgb="FF2F7D4C"/>
      </x:font>
      <x:fill>
        <x:patternFill patternType="solid">
          <x:bgColor rgb="FFEAF6EE"/>
        </x:patternFill>
      </x:fill>
    </x:dxf>
    <x:dxf>
      <x:font>
        <x:b/>
        <x:color rgb="FFB7791F"/>
      </x:font>
      <x:fill>
        <x:patternFill patternType="solid">
          <x:bgColor rgb="FFFFF4DE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  <x:dxf>
      <x:font>
        <x:b/>
        <x:color rgb="FFB42318"/>
      </x:font>
      <x:fill>
        <x:patternFill patternType="solid">
          <x:bgColor rgb="FFFFF4D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dd7c60d71b4483" /><Relationship Type="http://schemas.openxmlformats.org/officeDocument/2006/relationships/theme" Target="/xl/theme/theme1.xml" Id="R06db3a8e47e44c17" /><Relationship Type="http://schemas.openxmlformats.org/officeDocument/2006/relationships/sharedStrings" Target="/xl/sharedStrings.xml" Id="Rb3cef5390b5348d6" /><Relationship Type="http://schemas.openxmlformats.org/officeDocument/2006/relationships/worksheet" Target="/xl/worksheets/sheet1.xml" Id="R691656c503a04ea8" /><Relationship Type="http://schemas.openxmlformats.org/officeDocument/2006/relationships/worksheet" Target="/xl/worksheets/sheet2.xml" Id="R181c08ac38e8430f" /><Relationship Type="http://schemas.openxmlformats.org/officeDocument/2006/relationships/worksheet" Target="/xl/worksheets/sheet3.xml" Id="Ra155932ce0ed4678" /><Relationship Type="http://schemas.openxmlformats.org/officeDocument/2006/relationships/worksheet" Target="/xl/worksheets/sheet4.xml" Id="R8a8c23e6719f4d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2.5" hidden="0" customWidth="1"/>
    <x:col min="8" max="8" width="32.5" hidden="0" customWidth="1"/>
    <x:col min="9" max="9" width="17.5" hidden="0" customWidth="1"/>
    <x:col min="10" max="10" width="17.5" hidden="0" customWidth="1"/>
    <x:col min="11" max="11" width="7.25" hidden="0" customWidth="1"/>
  </x:cols>
  <x:sheetData>
    <x:row r="1">
      <x:c r="A1" s="4" t="str">
        <x:v>VIP Tracker Signup Template</x:v>
      </x:c>
      <x:c r="B1" s="4" t="str">
        <x:v>VIP Tracker Signup Template</x:v>
      </x:c>
      <x:c r="C1" s="4" t="str">
        <x:v>VIP Tracker Signup Template</x:v>
      </x:c>
      <x:c r="D1" s="4" t="str">
        <x:v>VIP Tracker Signup Template</x:v>
      </x:c>
      <x:c r="E1" s="4" t="str">
        <x:v>VIP Tracker Signup Template</x:v>
      </x:c>
      <x:c r="F1" s="4" t="str">
        <x:v>VIP Tracker Signup Template</x:v>
      </x:c>
      <x:c r="G1" s="4" t="str">
        <x:v>VIP Tracker Signup Template</x:v>
      </x:c>
      <x:c r="H1" s="4" t="str">
        <x:v>VIP Tracker Signup Template</x:v>
      </x:c>
      <x:c r="I1" s="4" t="str">
        <x:v>VIP Tracker Signup Template</x:v>
      </x:c>
      <x:c r="J1" s="4" t="str">
        <x:v>VIP Tracker Signup Template</x:v>
      </x:c>
      <x:c r="K1" s="4" t="str">
        <x:v>VIP Tracker Signup Template</x:v>
      </x:c>
      <x:c r="L1" s="32"/>
      <x:c r="M1" s="32"/>
      <x:c r="N1" s="32"/>
      <x:c r="O1" s="32"/>
    </x:row>
    <x:row r="2">
      <x:c r="A2" s="9" t="str">
        <x:v>Enter signups here. Plugin Export automatically filters active VIPs and sorts them alphabetically for VIP Name Checker.</x:v>
      </x:c>
      <x:c r="B2" s="9" t="str">
        <x:v>Enter signups here. Plugin Export automatically filters active VIPs and sorts them alphabetically for VIP Name Checker.</x:v>
      </x:c>
      <x:c r="C2" s="9" t="str">
        <x:v>Enter signups here. Plugin Export automatically filters active VIPs and sorts them alphabetically for VIP Name Checker.</x:v>
      </x:c>
      <x:c r="D2" s="9" t="str">
        <x:v>Enter signups here. Plugin Export automatically filters active VIPs and sorts them alphabetically for VIP Name Checker.</x:v>
      </x:c>
      <x:c r="E2" s="9" t="str">
        <x:v>Enter signups here. Plugin Export automatically filters active VIPs and sorts them alphabetically for VIP Name Checker.</x:v>
      </x:c>
      <x:c r="F2" s="9" t="str">
        <x:v>Enter signups here. Plugin Export automatically filters active VIPs and sorts them alphabetically for VIP Name Checker.</x:v>
      </x:c>
      <x:c r="G2" s="9" t="str">
        <x:v>Enter signups here. Plugin Export automatically filters active VIPs and sorts them alphabetically for VIP Name Checker.</x:v>
      </x:c>
      <x:c r="H2" s="9" t="str">
        <x:v>Enter signups here. Plugin Export automatically filters active VIPs and sorts them alphabetically for VIP Name Checker.</x:v>
      </x:c>
      <x:c r="I2" s="9" t="str">
        <x:v>Enter signups here. Plugin Export automatically filters active VIPs and sorts them alphabetically for VIP Name Checker.</x:v>
      </x:c>
      <x:c r="J2" s="9" t="str">
        <x:v>Enter signups here. Plugin Export automatically filters active VIPs and sorts them alphabetically for VIP Name Checker.</x:v>
      </x:c>
      <x:c r="K2" s="9" t="str">
        <x:v>Enter signups here. Plugin Export automatically filters active VIPs and sorts them alphabetically for VIP Name Checker.</x:v>
      </x:c>
    </x:row>
    <x:row r="4">
      <x:c r="A4" s="15" t="str">
        <x:v>Character Name</x:v>
      </x:c>
      <x:c r="B4" s="15" t="str">
        <x:v>Signup Date</x:v>
      </x:c>
      <x:c r="C4" s="15" t="str">
        <x:v>Duration</x:v>
      </x:c>
      <x:c r="D4" s="15" t="str">
        <x:v>Expiration Date</x:v>
      </x:c>
      <x:c r="E4" s="15" t="str">
        <x:v>Status</x:v>
      </x:c>
      <x:c r="F4" s="15" t="str">
        <x:v>VIP Type</x:v>
      </x:c>
      <x:c r="G4" s="15" t="str">
        <x:v>Benefits Available</x:v>
      </x:c>
      <x:c r="H4" s="15" t="str">
        <x:v>Notes</x:v>
      </x:c>
      <x:c r="I4" s="15" t="str">
        <x:v>Discord / Contact</x:v>
      </x:c>
      <x:c r="J4" s="15" t="str">
        <x:v>Payment / Proof</x:v>
      </x:c>
      <x:c r="K4" s="15" t="str">
        <x:v>Sort Rank</x:v>
      </x:c>
      <x:c r="M4" s="24" t="str">
        <x:v>Quick Stats</x:v>
      </x:c>
      <x:c r="N4" s="24" t="str"/>
      <x:c r="O4" s="24" t="str"/>
    </x:row>
    <x:row r="5">
      <x:c r="A5" s="21" t="str">
        <x:v>Astra Dawn</x:v>
      </x:c>
      <x:c r="B5" s="20" t="n">
        <x:v>46174</x:v>
      </x:c>
      <x:c r="C5" s="19" t="str">
        <x:v>30 Days</x:v>
      </x:c>
      <x:c r="D5" s="20" t="n">
        <x:f>IF(A5="","",IFERROR(B5+VLOOKUP(C5,Lists!$A$2:$B$101,2,FALSE),"Check duration"))</x:f>
        <x:v>46204</x:v>
      </x:c>
      <x:c r="E5" s="19" t="str">
        <x:f>IF(A5="","",IF(ISNUMBER(D5),IF(D5&lt;TODAY(),"Expired",IF(D5&lt;=TODAY()+7,"Expiring Soon","Active")),"Check Duration"))</x:f>
        <x:v>Active</x:v>
      </x:c>
      <x:c r="F5" s="19" t="str">
        <x:v>Gold</x:v>
      </x:c>
      <x:c r="G5" s="22" t="str">
        <x:v>Queue Priority; Photo Slot; Gamba Token</x:v>
      </x:c>
      <x:c r="H5" s="22" t="str">
        <x:v>Renewal reminder one week before expiry.</x:v>
      </x:c>
      <x:c r="I5" s="19" t="str">
        <x:v>astra.dawn</x:v>
      </x:c>
      <x:c r="J5" s="19" t="str">
        <x:v>Paid</x:v>
      </x:c>
      <x:c r="K5" s="19" t="n">
        <x:f>IF(A5="","",IF(E5="Expired","",IF(E5="Check Duration","",COUNTIFS($A$5:$A$204,"&lt;"&amp;A5,$E$5:$E$204,"&lt;&gt;Expired",$E$5:$E$204,"&lt;&gt;Check Duration")+COUNTIFS($A$5:A5,A5,$E$5:E5,"&lt;&gt;Expired",$E$5:E5,"&lt;&gt;Check Duration"))))</x:f>
        <x:v>1</x:v>
      </x:c>
      <x:c r="M5" s="25" t="str">
        <x:v>Active VIPs</x:v>
      </x:c>
      <x:c r="N5" s="25" t="str"/>
      <x:c r="O5" s="25" t="n">
        <x:f>COUNTIF(E5:E204,"Active")</x:f>
        <x:v>1</x:v>
      </x:c>
    </x:row>
    <x:row r="6">
      <x:c r="A6" s="21" t="str">
        <x:v>Mira Vale</x:v>
      </x:c>
      <x:c r="B6" s="20" t="n">
        <x:v>46189</x:v>
      </x:c>
      <x:c r="C6" s="19" t="str">
        <x:v>Event Only</x:v>
      </x:c>
      <x:c r="D6" s="20" t="n">
        <x:f>IF(A6="","",IFERROR(B6+VLOOKUP(C6,Lists!$A$2:$B$101,2,FALSE),"Check duration"))</x:f>
        <x:v>46189</x:v>
      </x:c>
      <x:c r="E6" s="19" t="str">
        <x:f>IF(A6="","",IF(ISNUMBER(D6),IF(D6&lt;TODAY(),"Expired",IF(D6&lt;=TODAY()+7,"Expiring Soon","Active")),"Check Duration"))</x:f>
        <x:v>Expiring Soon</x:v>
      </x:c>
      <x:c r="F6" s="19" t="str">
        <x:v>Event</x:v>
      </x:c>
      <x:c r="G6" s="22" t="str">
        <x:v>Event Access; Photo Slot</x:v>
      </x:c>
      <x:c r="H6" s="22" t="str">
        <x:v>One-night venue pass.</x:v>
      </x:c>
      <x:c r="I6" s="19" t="str">
        <x:v>mira.vale</x:v>
      </x:c>
      <x:c r="J6" s="19" t="str">
        <x:v>Comp</x:v>
      </x:c>
      <x:c r="K6" s="19" t="n">
        <x:f>IF(A6="","",IF(E6="Expired","",IF(E6="Check Duration","",COUNTIFS($A$5:$A$204,"&lt;"&amp;A6,$E$5:$E$204,"&lt;&gt;Expired",$E$5:$E$204,"&lt;&gt;Check Duration")+COUNTIFS($A$5:A6,A6,$E$5:E6,"&lt;&gt;Expired",$E$5:E6,"&lt;&gt;Check Duration"))))</x:f>
        <x:v>2</x:v>
      </x:c>
      <x:c r="M6" s="25" t="str">
        <x:v>Expiring Soon</x:v>
      </x:c>
      <x:c r="N6" s="25" t="str"/>
      <x:c r="O6" s="25" t="n">
        <x:f>COUNTIF(E5:E204,"Expiring Soon")</x:f>
        <x:v>1</x:v>
      </x:c>
    </x:row>
    <x:row r="7">
      <x:c r="A7" s="21" t="str">
        <x:v>Riven Holt</x:v>
      </x:c>
      <x:c r="B7" s="20" t="n">
        <x:v>46152</x:v>
      </x:c>
      <x:c r="C7" s="19" t="str">
        <x:v>30 Days</x:v>
      </x:c>
      <x:c r="D7" s="20" t="n">
        <x:f>IF(A7="","",IFERROR(B7+VLOOKUP(C7,Lists!$A$2:$B$101,2,FALSE),"Check duration"))</x:f>
        <x:v>46182</x:v>
      </x:c>
      <x:c r="E7" s="19" t="str">
        <x:f>IF(A7="","",IF(ISNUMBER(D7),IF(D7&lt;TODAY(),"Expired",IF(D7&lt;=TODAY()+7,"Expiring Soon","Active")),"Check Duration"))</x:f>
        <x:v>Expired</x:v>
      </x:c>
      <x:c r="F7" s="19" t="str">
        <x:v>Silver</x:v>
      </x:c>
      <x:c r="G7" s="22" t="str">
        <x:v>Queue Priority</x:v>
      </x:c>
      <x:c r="H7" s="22" t="str">
        <x:v>Example expired row.</x:v>
      </x:c>
      <x:c r="I7" s="19" t="str">
        <x:v>riven.holt</x:v>
      </x:c>
      <x:c r="J7" s="19" t="str">
        <x:v>Paid</x:v>
      </x:c>
      <x:c r="K7" s="19" t="str">
        <x:f>IF(A7="","",IF(E7="Expired","",IF(E7="Check Duration","",COUNTIFS($A$5:$A$204,"&lt;"&amp;A7,$E$5:$E$204,"&lt;&gt;Expired",$E$5:$E$204,"&lt;&gt;Check Duration")+COUNTIFS($A$5:A7,A7,$E$5:E7,"&lt;&gt;Expired",$E$5:E7,"&lt;&gt;Check Duration"))))</x:f>
      </x:c>
      <x:c r="M7" s="25" t="str">
        <x:v>Expired</x:v>
      </x:c>
      <x:c r="N7" s="25" t="str"/>
      <x:c r="O7" s="25" t="n">
        <x:f>COUNTIF(E5:E204,"Expired")</x:f>
        <x:v>1</x:v>
      </x:c>
    </x:row>
    <x:row r="8">
      <x:c r="A8" s="21"/>
      <x:c r="B8" s="20"/>
      <x:c r="C8" s="19"/>
      <x:c r="D8" s="20" t="str">
        <x:f>IF(A8="","",IFERROR(B8+VLOOKUP(C8,Lists!$A$2:$B$101,2,FALSE),"Check duration"))</x:f>
      </x:c>
      <x:c r="E8" s="19" t="str">
        <x:f>IF(A8="","",IF(ISNUMBER(D8),IF(D8&lt;TODAY(),"Expired",IF(D8&lt;=TODAY()+7,"Expiring Soon","Active")),"Check Duration"))</x:f>
      </x:c>
      <x:c r="F8" s="19"/>
      <x:c r="G8" s="22"/>
      <x:c r="H8" s="22"/>
      <x:c r="I8" s="19"/>
      <x:c r="J8" s="19"/>
      <x:c r="K8" s="19" t="str">
        <x:f>IF(A8="","",IF(E8="Expired","",IF(E8="Check Duration","",COUNTIFS($A$5:$A$204,"&lt;"&amp;A8,$E$5:$E$204,"&lt;&gt;Expired",$E$5:$E$204,"&lt;&gt;Check Duration")+COUNTIFS($A$5:A8,A8,$E$5:E8,"&lt;&gt;Expired",$E$5:E8,"&lt;&gt;Check Duration"))))</x:f>
      </x:c>
      <x:c r="M8" s="25" t="str">
        <x:v>Total Signups</x:v>
      </x:c>
      <x:c r="N8" s="25" t="str"/>
      <x:c r="O8" s="25" t="n">
        <x:f>COUNTA(A5:A204)</x:f>
        <x:v>3</x:v>
      </x:c>
    </x:row>
    <x:row r="9">
      <x:c r="A9" s="21"/>
      <x:c r="B9" s="20"/>
      <x:c r="C9" s="19"/>
      <x:c r="D9" s="20" t="str">
        <x:f>IF(A9="","",IFERROR(B9+VLOOKUP(C9,Lists!$A$2:$B$101,2,FALSE),"Check duration"))</x:f>
      </x:c>
      <x:c r="E9" s="19" t="str">
        <x:f>IF(A9="","",IF(ISNUMBER(D9),IF(D9&lt;TODAY(),"Expired",IF(D9&lt;=TODAY()+7,"Expiring Soon","Active")),"Check Duration"))</x:f>
      </x:c>
      <x:c r="F9" s="19"/>
      <x:c r="G9" s="22"/>
      <x:c r="H9" s="22"/>
      <x:c r="I9" s="19"/>
      <x:c r="J9" s="19"/>
      <x:c r="K9" s="19" t="str">
        <x:f>IF(A9="","",IF(E9="Expired","",IF(E9="Check Duration","",COUNTIFS($A$5:$A$204,"&lt;"&amp;A9,$E$5:$E$204,"&lt;&gt;Expired",$E$5:$E$204,"&lt;&gt;Check Duration")+COUNTIFS($A$5:A9,A9,$E$5:E9,"&lt;&gt;Expired",$E$5:E9,"&lt;&gt;Check Duration"))))</x:f>
      </x:c>
    </x:row>
    <x:row r="10">
      <x:c r="A10" s="21"/>
      <x:c r="B10" s="20"/>
      <x:c r="C10" s="19"/>
      <x:c r="D10" s="20" t="str">
        <x:f>IF(A10="","",IFERROR(B10+VLOOKUP(C10,Lists!$A$2:$B$101,2,FALSE),"Check duration"))</x:f>
      </x:c>
      <x:c r="E10" s="19" t="str">
        <x:f>IF(A10="","",IF(ISNUMBER(D10),IF(D10&lt;TODAY(),"Expired",IF(D10&lt;=TODAY()+7,"Expiring Soon","Active")),"Check Duration"))</x:f>
      </x:c>
      <x:c r="F10" s="19"/>
      <x:c r="G10" s="22"/>
      <x:c r="H10" s="22"/>
      <x:c r="I10" s="19"/>
      <x:c r="J10" s="19"/>
      <x:c r="K10" s="19" t="str">
        <x:f>IF(A10="","",IF(E10="Expired","",IF(E10="Check Duration","",COUNTIFS($A$5:$A$204,"&lt;"&amp;A10,$E$5:$E$204,"&lt;&gt;Expired",$E$5:$E$204,"&lt;&gt;Check Duration")+COUNTIFS($A$5:A10,A10,$E$5:E10,"&lt;&gt;Expired",$E$5:E10,"&lt;&gt;Check Duration"))))</x:f>
      </x:c>
    </x:row>
    <x:row r="11">
      <x:c r="A11" s="21"/>
      <x:c r="B11" s="20"/>
      <x:c r="C11" s="19"/>
      <x:c r="D11" s="20" t="str">
        <x:f>IF(A11="","",IFERROR(B11+VLOOKUP(C11,Lists!$A$2:$B$101,2,FALSE),"Check duration"))</x:f>
      </x:c>
      <x:c r="E11" s="19" t="str">
        <x:f>IF(A11="","",IF(ISNUMBER(D11),IF(D11&lt;TODAY(),"Expired",IF(D11&lt;=TODAY()+7,"Expiring Soon","Active")),"Check Duration"))</x:f>
      </x:c>
      <x:c r="F11" s="19"/>
      <x:c r="G11" s="22"/>
      <x:c r="H11" s="22"/>
      <x:c r="I11" s="19"/>
      <x:c r="J11" s="19"/>
      <x:c r="K11" s="19" t="str">
        <x:f>IF(A11="","",IF(E11="Expired","",IF(E11="Check Duration","",COUNTIFS($A$5:$A$204,"&lt;"&amp;A11,$E$5:$E$204,"&lt;&gt;Expired",$E$5:$E$204,"&lt;&gt;Check Duration")+COUNTIFS($A$5:A11,A11,$E$5:E11,"&lt;&gt;Expired",$E$5:E11,"&lt;&gt;Check Duration"))))</x:f>
      </x:c>
    </x:row>
    <x:row r="12">
      <x:c r="A12" s="21"/>
      <x:c r="B12" s="20"/>
      <x:c r="C12" s="19"/>
      <x:c r="D12" s="20" t="str">
        <x:f>IF(A12="","",IFERROR(B12+VLOOKUP(C12,Lists!$A$2:$B$101,2,FALSE),"Check duration"))</x:f>
      </x:c>
      <x:c r="E12" s="19" t="str">
        <x:f>IF(A12="","",IF(ISNUMBER(D12),IF(D12&lt;TODAY(),"Expired",IF(D12&lt;=TODAY()+7,"Expiring Soon","Active")),"Check Duration"))</x:f>
      </x:c>
      <x:c r="F12" s="19"/>
      <x:c r="G12" s="22"/>
      <x:c r="H12" s="22"/>
      <x:c r="I12" s="19"/>
      <x:c r="J12" s="19"/>
      <x:c r="K12" s="19" t="str">
        <x:f>IF(A12="","",IF(E12="Expired","",IF(E12="Check Duration","",COUNTIFS($A$5:$A$204,"&lt;"&amp;A12,$E$5:$E$204,"&lt;&gt;Expired",$E$5:$E$204,"&lt;&gt;Check Duration")+COUNTIFS($A$5:A12,A12,$E$5:E12,"&lt;&gt;Expired",$E$5:E12,"&lt;&gt;Check Duration"))))</x:f>
      </x:c>
    </x:row>
    <x:row r="13">
      <x:c r="A13" s="21"/>
      <x:c r="B13" s="20"/>
      <x:c r="C13" s="19"/>
      <x:c r="D13" s="20" t="str">
        <x:f>IF(A13="","",IFERROR(B13+VLOOKUP(C13,Lists!$A$2:$B$101,2,FALSE),"Check duration"))</x:f>
      </x:c>
      <x:c r="E13" s="19" t="str">
        <x:f>IF(A13="","",IF(ISNUMBER(D13),IF(D13&lt;TODAY(),"Expired",IF(D13&lt;=TODAY()+7,"Expiring Soon","Active")),"Check Duration"))</x:f>
      </x:c>
      <x:c r="F13" s="19"/>
      <x:c r="G13" s="22"/>
      <x:c r="H13" s="22"/>
      <x:c r="I13" s="19"/>
      <x:c r="J13" s="19"/>
      <x:c r="K13" s="19" t="str">
        <x:f>IF(A13="","",IF(E13="Expired","",IF(E13="Check Duration","",COUNTIFS($A$5:$A$204,"&lt;"&amp;A13,$E$5:$E$204,"&lt;&gt;Expired",$E$5:$E$204,"&lt;&gt;Check Duration")+COUNTIFS($A$5:A13,A13,$E$5:E13,"&lt;&gt;Expired",$E$5:E13,"&lt;&gt;Check Duration"))))</x:f>
      </x:c>
    </x:row>
    <x:row r="14">
      <x:c r="A14" s="21"/>
      <x:c r="B14" s="20"/>
      <x:c r="C14" s="19"/>
      <x:c r="D14" s="20" t="str">
        <x:f>IF(A14="","",IFERROR(B14+VLOOKUP(C14,Lists!$A$2:$B$101,2,FALSE),"Check duration"))</x:f>
      </x:c>
      <x:c r="E14" s="19" t="str">
        <x:f>IF(A14="","",IF(ISNUMBER(D14),IF(D14&lt;TODAY(),"Expired",IF(D14&lt;=TODAY()+7,"Expiring Soon","Active")),"Check Duration"))</x:f>
      </x:c>
      <x:c r="F14" s="19"/>
      <x:c r="G14" s="22"/>
      <x:c r="H14" s="22"/>
      <x:c r="I14" s="19"/>
      <x:c r="J14" s="19"/>
      <x:c r="K14" s="19" t="str">
        <x:f>IF(A14="","",IF(E14="Expired","",IF(E14="Check Duration","",COUNTIFS($A$5:$A$204,"&lt;"&amp;A14,$E$5:$E$204,"&lt;&gt;Expired",$E$5:$E$204,"&lt;&gt;Check Duration")+COUNTIFS($A$5:A14,A14,$E$5:E14,"&lt;&gt;Expired",$E$5:E14,"&lt;&gt;Check Duration"))))</x:f>
      </x:c>
    </x:row>
    <x:row r="15">
      <x:c r="A15" s="21"/>
      <x:c r="B15" s="20"/>
      <x:c r="C15" s="19"/>
      <x:c r="D15" s="20" t="str">
        <x:f>IF(A15="","",IFERROR(B15+VLOOKUP(C15,Lists!$A$2:$B$101,2,FALSE),"Check duration"))</x:f>
      </x:c>
      <x:c r="E15" s="19" t="str">
        <x:f>IF(A15="","",IF(ISNUMBER(D15),IF(D15&lt;TODAY(),"Expired",IF(D15&lt;=TODAY()+7,"Expiring Soon","Active")),"Check Duration"))</x:f>
      </x:c>
      <x:c r="F15" s="19"/>
      <x:c r="G15" s="22"/>
      <x:c r="H15" s="22"/>
      <x:c r="I15" s="19"/>
      <x:c r="J15" s="19"/>
      <x:c r="K15" s="19" t="str">
        <x:f>IF(A15="","",IF(E15="Expired","",IF(E15="Check Duration","",COUNTIFS($A$5:$A$204,"&lt;"&amp;A15,$E$5:$E$204,"&lt;&gt;Expired",$E$5:$E$204,"&lt;&gt;Check Duration")+COUNTIFS($A$5:A15,A15,$E$5:E15,"&lt;&gt;Expired",$E$5:E15,"&lt;&gt;Check Duration"))))</x:f>
      </x:c>
    </x:row>
    <x:row r="16">
      <x:c r="A16" s="21"/>
      <x:c r="B16" s="20"/>
      <x:c r="C16" s="19"/>
      <x:c r="D16" s="20" t="str">
        <x:f>IF(A16="","",IFERROR(B16+VLOOKUP(C16,Lists!$A$2:$B$101,2,FALSE),"Check duration"))</x:f>
      </x:c>
      <x:c r="E16" s="19" t="str">
        <x:f>IF(A16="","",IF(ISNUMBER(D16),IF(D16&lt;TODAY(),"Expired",IF(D16&lt;=TODAY()+7,"Expiring Soon","Active")),"Check Duration"))</x:f>
      </x:c>
      <x:c r="F16" s="19"/>
      <x:c r="G16" s="22"/>
      <x:c r="H16" s="22"/>
      <x:c r="I16" s="19"/>
      <x:c r="J16" s="19"/>
      <x:c r="K16" s="19" t="str">
        <x:f>IF(A16="","",IF(E16="Expired","",IF(E16="Check Duration","",COUNTIFS($A$5:$A$204,"&lt;"&amp;A16,$E$5:$E$204,"&lt;&gt;Expired",$E$5:$E$204,"&lt;&gt;Check Duration")+COUNTIFS($A$5:A16,A16,$E$5:E16,"&lt;&gt;Expired",$E$5:E16,"&lt;&gt;Check Duration"))))</x:f>
      </x:c>
    </x:row>
    <x:row r="17">
      <x:c r="A17" s="21"/>
      <x:c r="B17" s="20"/>
      <x:c r="C17" s="19"/>
      <x:c r="D17" s="20" t="str">
        <x:f>IF(A17="","",IFERROR(B17+VLOOKUP(C17,Lists!$A$2:$B$101,2,FALSE),"Check duration"))</x:f>
      </x:c>
      <x:c r="E17" s="19" t="str">
        <x:f>IF(A17="","",IF(ISNUMBER(D17),IF(D17&lt;TODAY(),"Expired",IF(D17&lt;=TODAY()+7,"Expiring Soon","Active")),"Check Duration"))</x:f>
      </x:c>
      <x:c r="F17" s="19"/>
      <x:c r="G17" s="22"/>
      <x:c r="H17" s="22"/>
      <x:c r="I17" s="19"/>
      <x:c r="J17" s="19"/>
      <x:c r="K17" s="19" t="str">
        <x:f>IF(A17="","",IF(E17="Expired","",IF(E17="Check Duration","",COUNTIFS($A$5:$A$204,"&lt;"&amp;A17,$E$5:$E$204,"&lt;&gt;Expired",$E$5:$E$204,"&lt;&gt;Check Duration")+COUNTIFS($A$5:A17,A17,$E$5:E17,"&lt;&gt;Expired",$E$5:E17,"&lt;&gt;Check Duration"))))</x:f>
      </x:c>
    </x:row>
    <x:row r="18">
      <x:c r="A18" s="21"/>
      <x:c r="B18" s="20"/>
      <x:c r="C18" s="19"/>
      <x:c r="D18" s="20" t="str">
        <x:f>IF(A18="","",IFERROR(B18+VLOOKUP(C18,Lists!$A$2:$B$101,2,FALSE),"Check duration"))</x:f>
      </x:c>
      <x:c r="E18" s="19" t="str">
        <x:f>IF(A18="","",IF(ISNUMBER(D18),IF(D18&lt;TODAY(),"Expired",IF(D18&lt;=TODAY()+7,"Expiring Soon","Active")),"Check Duration"))</x:f>
      </x:c>
      <x:c r="F18" s="19"/>
      <x:c r="G18" s="22"/>
      <x:c r="H18" s="22"/>
      <x:c r="I18" s="19"/>
      <x:c r="J18" s="19"/>
      <x:c r="K18" s="19" t="str">
        <x:f>IF(A18="","",IF(E18="Expired","",IF(E18="Check Duration","",COUNTIFS($A$5:$A$204,"&lt;"&amp;A18,$E$5:$E$204,"&lt;&gt;Expired",$E$5:$E$204,"&lt;&gt;Check Duration")+COUNTIFS($A$5:A18,A18,$E$5:E18,"&lt;&gt;Expired",$E$5:E18,"&lt;&gt;Check Duration"))))</x:f>
      </x:c>
    </x:row>
    <x:row r="19">
      <x:c r="A19" s="21"/>
      <x:c r="B19" s="20"/>
      <x:c r="C19" s="19"/>
      <x:c r="D19" s="20" t="str">
        <x:f>IF(A19="","",IFERROR(B19+VLOOKUP(C19,Lists!$A$2:$B$101,2,FALSE),"Check duration"))</x:f>
      </x:c>
      <x:c r="E19" s="19" t="str">
        <x:f>IF(A19="","",IF(ISNUMBER(D19),IF(D19&lt;TODAY(),"Expired",IF(D19&lt;=TODAY()+7,"Expiring Soon","Active")),"Check Duration"))</x:f>
      </x:c>
      <x:c r="F19" s="19"/>
      <x:c r="G19" s="22"/>
      <x:c r="H19" s="22"/>
      <x:c r="I19" s="19"/>
      <x:c r="J19" s="19"/>
      <x:c r="K19" s="19" t="str">
        <x:f>IF(A19="","",IF(E19="Expired","",IF(E19="Check Duration","",COUNTIFS($A$5:$A$204,"&lt;"&amp;A19,$E$5:$E$204,"&lt;&gt;Expired",$E$5:$E$204,"&lt;&gt;Check Duration")+COUNTIFS($A$5:A19,A19,$E$5:E19,"&lt;&gt;Expired",$E$5:E19,"&lt;&gt;Check Duration"))))</x:f>
      </x:c>
    </x:row>
    <x:row r="20">
      <x:c r="A20" s="21"/>
      <x:c r="B20" s="20"/>
      <x:c r="C20" s="19"/>
      <x:c r="D20" s="20" t="str">
        <x:f>IF(A20="","",IFERROR(B20+VLOOKUP(C20,Lists!$A$2:$B$101,2,FALSE),"Check duration"))</x:f>
      </x:c>
      <x:c r="E20" s="19" t="str">
        <x:f>IF(A20="","",IF(ISNUMBER(D20),IF(D20&lt;TODAY(),"Expired",IF(D20&lt;=TODAY()+7,"Expiring Soon","Active")),"Check Duration"))</x:f>
      </x:c>
      <x:c r="F20" s="19"/>
      <x:c r="G20" s="22"/>
      <x:c r="H20" s="22"/>
      <x:c r="I20" s="19"/>
      <x:c r="J20" s="19"/>
      <x:c r="K20" s="19" t="str">
        <x:f>IF(A20="","",IF(E20="Expired","",IF(E20="Check Duration","",COUNTIFS($A$5:$A$204,"&lt;"&amp;A20,$E$5:$E$204,"&lt;&gt;Expired",$E$5:$E$204,"&lt;&gt;Check Duration")+COUNTIFS($A$5:A20,A20,$E$5:E20,"&lt;&gt;Expired",$E$5:E20,"&lt;&gt;Check Duration"))))</x:f>
      </x:c>
    </x:row>
    <x:row r="21">
      <x:c r="A21" s="21"/>
      <x:c r="B21" s="20"/>
      <x:c r="C21" s="19"/>
      <x:c r="D21" s="20" t="str">
        <x:f>IF(A21="","",IFERROR(B21+VLOOKUP(C21,Lists!$A$2:$B$101,2,FALSE),"Check duration"))</x:f>
      </x:c>
      <x:c r="E21" s="19" t="str">
        <x:f>IF(A21="","",IF(ISNUMBER(D21),IF(D21&lt;TODAY(),"Expired",IF(D21&lt;=TODAY()+7,"Expiring Soon","Active")),"Check Duration"))</x:f>
      </x:c>
      <x:c r="F21" s="19"/>
      <x:c r="G21" s="22"/>
      <x:c r="H21" s="22"/>
      <x:c r="I21" s="19"/>
      <x:c r="J21" s="19"/>
      <x:c r="K21" s="19" t="str">
        <x:f>IF(A21="","",IF(E21="Expired","",IF(E21="Check Duration","",COUNTIFS($A$5:$A$204,"&lt;"&amp;A21,$E$5:$E$204,"&lt;&gt;Expired",$E$5:$E$204,"&lt;&gt;Check Duration")+COUNTIFS($A$5:A21,A21,$E$5:E21,"&lt;&gt;Expired",$E$5:E21,"&lt;&gt;Check Duration"))))</x:f>
      </x:c>
    </x:row>
    <x:row r="22">
      <x:c r="A22" s="21"/>
      <x:c r="B22" s="20"/>
      <x:c r="C22" s="19"/>
      <x:c r="D22" s="20" t="str">
        <x:f>IF(A22="","",IFERROR(B22+VLOOKUP(C22,Lists!$A$2:$B$101,2,FALSE),"Check duration"))</x:f>
      </x:c>
      <x:c r="E22" s="19" t="str">
        <x:f>IF(A22="","",IF(ISNUMBER(D22),IF(D22&lt;TODAY(),"Expired",IF(D22&lt;=TODAY()+7,"Expiring Soon","Active")),"Check Duration"))</x:f>
      </x:c>
      <x:c r="F22" s="19"/>
      <x:c r="G22" s="22"/>
      <x:c r="H22" s="22"/>
      <x:c r="I22" s="19"/>
      <x:c r="J22" s="19"/>
      <x:c r="K22" s="19" t="str">
        <x:f>IF(A22="","",IF(E22="Expired","",IF(E22="Check Duration","",COUNTIFS($A$5:$A$204,"&lt;"&amp;A22,$E$5:$E$204,"&lt;&gt;Expired",$E$5:$E$204,"&lt;&gt;Check Duration")+COUNTIFS($A$5:A22,A22,$E$5:E22,"&lt;&gt;Expired",$E$5:E22,"&lt;&gt;Check Duration"))))</x:f>
      </x:c>
    </x:row>
    <x:row r="23">
      <x:c r="A23" s="21"/>
      <x:c r="B23" s="20"/>
      <x:c r="C23" s="19"/>
      <x:c r="D23" s="20" t="str">
        <x:f>IF(A23="","",IFERROR(B23+VLOOKUP(C23,Lists!$A$2:$B$101,2,FALSE),"Check duration"))</x:f>
      </x:c>
      <x:c r="E23" s="19" t="str">
        <x:f>IF(A23="","",IF(ISNUMBER(D23),IF(D23&lt;TODAY(),"Expired",IF(D23&lt;=TODAY()+7,"Expiring Soon","Active")),"Check Duration"))</x:f>
      </x:c>
      <x:c r="F23" s="19"/>
      <x:c r="G23" s="22"/>
      <x:c r="H23" s="22"/>
      <x:c r="I23" s="19"/>
      <x:c r="J23" s="19"/>
      <x:c r="K23" s="19" t="str">
        <x:f>IF(A23="","",IF(E23="Expired","",IF(E23="Check Duration","",COUNTIFS($A$5:$A$204,"&lt;"&amp;A23,$E$5:$E$204,"&lt;&gt;Expired",$E$5:$E$204,"&lt;&gt;Check Duration")+COUNTIFS($A$5:A23,A23,$E$5:E23,"&lt;&gt;Expired",$E$5:E23,"&lt;&gt;Check Duration"))))</x:f>
      </x:c>
    </x:row>
    <x:row r="24">
      <x:c r="A24" s="21"/>
      <x:c r="B24" s="20"/>
      <x:c r="C24" s="19"/>
      <x:c r="D24" s="20" t="str">
        <x:f>IF(A24="","",IFERROR(B24+VLOOKUP(C24,Lists!$A$2:$B$101,2,FALSE),"Check duration"))</x:f>
      </x:c>
      <x:c r="E24" s="19" t="str">
        <x:f>IF(A24="","",IF(ISNUMBER(D24),IF(D24&lt;TODAY(),"Expired",IF(D24&lt;=TODAY()+7,"Expiring Soon","Active")),"Check Duration"))</x:f>
      </x:c>
      <x:c r="F24" s="19"/>
      <x:c r="G24" s="22"/>
      <x:c r="H24" s="22"/>
      <x:c r="I24" s="19"/>
      <x:c r="J24" s="19"/>
      <x:c r="K24" s="19" t="str">
        <x:f>IF(A24="","",IF(E24="Expired","",IF(E24="Check Duration","",COUNTIFS($A$5:$A$204,"&lt;"&amp;A24,$E$5:$E$204,"&lt;&gt;Expired",$E$5:$E$204,"&lt;&gt;Check Duration")+COUNTIFS($A$5:A24,A24,$E$5:E24,"&lt;&gt;Expired",$E$5:E24,"&lt;&gt;Check Duration"))))</x:f>
      </x:c>
    </x:row>
    <x:row r="25">
      <x:c r="A25" s="21"/>
      <x:c r="B25" s="20"/>
      <x:c r="C25" s="19"/>
      <x:c r="D25" s="20" t="str">
        <x:f>IF(A25="","",IFERROR(B25+VLOOKUP(C25,Lists!$A$2:$B$101,2,FALSE),"Check duration"))</x:f>
      </x:c>
      <x:c r="E25" s="19" t="str">
        <x:f>IF(A25="","",IF(ISNUMBER(D25),IF(D25&lt;TODAY(),"Expired",IF(D25&lt;=TODAY()+7,"Expiring Soon","Active")),"Check Duration"))</x:f>
      </x:c>
      <x:c r="F25" s="19"/>
      <x:c r="G25" s="22"/>
      <x:c r="H25" s="22"/>
      <x:c r="I25" s="19"/>
      <x:c r="J25" s="19"/>
      <x:c r="K25" s="19" t="str">
        <x:f>IF(A25="","",IF(E25="Expired","",IF(E25="Check Duration","",COUNTIFS($A$5:$A$204,"&lt;"&amp;A25,$E$5:$E$204,"&lt;&gt;Expired",$E$5:$E$204,"&lt;&gt;Check Duration")+COUNTIFS($A$5:A25,A25,$E$5:E25,"&lt;&gt;Expired",$E$5:E25,"&lt;&gt;Check Duration"))))</x:f>
      </x:c>
    </x:row>
    <x:row r="26">
      <x:c r="A26" s="21"/>
      <x:c r="B26" s="20"/>
      <x:c r="C26" s="19"/>
      <x:c r="D26" s="20" t="str">
        <x:f>IF(A26="","",IFERROR(B26+VLOOKUP(C26,Lists!$A$2:$B$101,2,FALSE),"Check duration"))</x:f>
      </x:c>
      <x:c r="E26" s="19" t="str">
        <x:f>IF(A26="","",IF(ISNUMBER(D26),IF(D26&lt;TODAY(),"Expired",IF(D26&lt;=TODAY()+7,"Expiring Soon","Active")),"Check Duration"))</x:f>
      </x:c>
      <x:c r="F26" s="19"/>
      <x:c r="G26" s="22"/>
      <x:c r="H26" s="22"/>
      <x:c r="I26" s="19"/>
      <x:c r="J26" s="19"/>
      <x:c r="K26" s="19" t="str">
        <x:f>IF(A26="","",IF(E26="Expired","",IF(E26="Check Duration","",COUNTIFS($A$5:$A$204,"&lt;"&amp;A26,$E$5:$E$204,"&lt;&gt;Expired",$E$5:$E$204,"&lt;&gt;Check Duration")+COUNTIFS($A$5:A26,A26,$E$5:E26,"&lt;&gt;Expired",$E$5:E26,"&lt;&gt;Check Duration"))))</x:f>
      </x:c>
    </x:row>
    <x:row r="27">
      <x:c r="A27" s="21"/>
      <x:c r="B27" s="20"/>
      <x:c r="C27" s="19"/>
      <x:c r="D27" s="20" t="str">
        <x:f>IF(A27="","",IFERROR(B27+VLOOKUP(C27,Lists!$A$2:$B$101,2,FALSE),"Check duration"))</x:f>
      </x:c>
      <x:c r="E27" s="19" t="str">
        <x:f>IF(A27="","",IF(ISNUMBER(D27),IF(D27&lt;TODAY(),"Expired",IF(D27&lt;=TODAY()+7,"Expiring Soon","Active")),"Check Duration"))</x:f>
      </x:c>
      <x:c r="F27" s="19"/>
      <x:c r="G27" s="22"/>
      <x:c r="H27" s="22"/>
      <x:c r="I27" s="19"/>
      <x:c r="J27" s="19"/>
      <x:c r="K27" s="19" t="str">
        <x:f>IF(A27="","",IF(E27="Expired","",IF(E27="Check Duration","",COUNTIFS($A$5:$A$204,"&lt;"&amp;A27,$E$5:$E$204,"&lt;&gt;Expired",$E$5:$E$204,"&lt;&gt;Check Duration")+COUNTIFS($A$5:A27,A27,$E$5:E27,"&lt;&gt;Expired",$E$5:E27,"&lt;&gt;Check Duration"))))</x:f>
      </x:c>
    </x:row>
    <x:row r="28">
      <x:c r="A28" s="21"/>
      <x:c r="B28" s="20"/>
      <x:c r="C28" s="19"/>
      <x:c r="D28" s="20" t="str">
        <x:f>IF(A28="","",IFERROR(B28+VLOOKUP(C28,Lists!$A$2:$B$101,2,FALSE),"Check duration"))</x:f>
      </x:c>
      <x:c r="E28" s="19" t="str">
        <x:f>IF(A28="","",IF(ISNUMBER(D28),IF(D28&lt;TODAY(),"Expired",IF(D28&lt;=TODAY()+7,"Expiring Soon","Active")),"Check Duration"))</x:f>
      </x:c>
      <x:c r="F28" s="19"/>
      <x:c r="G28" s="22"/>
      <x:c r="H28" s="22"/>
      <x:c r="I28" s="19"/>
      <x:c r="J28" s="19"/>
      <x:c r="K28" s="19" t="str">
        <x:f>IF(A28="","",IF(E28="Expired","",IF(E28="Check Duration","",COUNTIFS($A$5:$A$204,"&lt;"&amp;A28,$E$5:$E$204,"&lt;&gt;Expired",$E$5:$E$204,"&lt;&gt;Check Duration")+COUNTIFS($A$5:A28,A28,$E$5:E28,"&lt;&gt;Expired",$E$5:E28,"&lt;&gt;Check Duration"))))</x:f>
      </x:c>
    </x:row>
    <x:row r="29">
      <x:c r="A29" s="21"/>
      <x:c r="B29" s="20"/>
      <x:c r="C29" s="19"/>
      <x:c r="D29" s="20" t="str">
        <x:f>IF(A29="","",IFERROR(B29+VLOOKUP(C29,Lists!$A$2:$B$101,2,FALSE),"Check duration"))</x:f>
      </x:c>
      <x:c r="E29" s="19" t="str">
        <x:f>IF(A29="","",IF(ISNUMBER(D29),IF(D29&lt;TODAY(),"Expired",IF(D29&lt;=TODAY()+7,"Expiring Soon","Active")),"Check Duration"))</x:f>
      </x:c>
      <x:c r="F29" s="19"/>
      <x:c r="G29" s="22"/>
      <x:c r="H29" s="22"/>
      <x:c r="I29" s="19"/>
      <x:c r="J29" s="19"/>
      <x:c r="K29" s="19" t="str">
        <x:f>IF(A29="","",IF(E29="Expired","",IF(E29="Check Duration","",COUNTIFS($A$5:$A$204,"&lt;"&amp;A29,$E$5:$E$204,"&lt;&gt;Expired",$E$5:$E$204,"&lt;&gt;Check Duration")+COUNTIFS($A$5:A29,A29,$E$5:E29,"&lt;&gt;Expired",$E$5:E29,"&lt;&gt;Check Duration"))))</x:f>
      </x:c>
    </x:row>
    <x:row r="30">
      <x:c r="A30" s="21"/>
      <x:c r="B30" s="20"/>
      <x:c r="C30" s="19"/>
      <x:c r="D30" s="20" t="str">
        <x:f>IF(A30="","",IFERROR(B30+VLOOKUP(C30,Lists!$A$2:$B$101,2,FALSE),"Check duration"))</x:f>
      </x:c>
      <x:c r="E30" s="19" t="str">
        <x:f>IF(A30="","",IF(ISNUMBER(D30),IF(D30&lt;TODAY(),"Expired",IF(D30&lt;=TODAY()+7,"Expiring Soon","Active")),"Check Duration"))</x:f>
      </x:c>
      <x:c r="F30" s="19"/>
      <x:c r="G30" s="22"/>
      <x:c r="H30" s="22"/>
      <x:c r="I30" s="19"/>
      <x:c r="J30" s="19"/>
      <x:c r="K30" s="19" t="str">
        <x:f>IF(A30="","",IF(E30="Expired","",IF(E30="Check Duration","",COUNTIFS($A$5:$A$204,"&lt;"&amp;A30,$E$5:$E$204,"&lt;&gt;Expired",$E$5:$E$204,"&lt;&gt;Check Duration")+COUNTIFS($A$5:A30,A30,$E$5:E30,"&lt;&gt;Expired",$E$5:E30,"&lt;&gt;Check Duration"))))</x:f>
      </x:c>
    </x:row>
    <x:row r="31">
      <x:c r="A31" s="21"/>
      <x:c r="B31" s="20"/>
      <x:c r="C31" s="19"/>
      <x:c r="D31" s="20" t="str">
        <x:f>IF(A31="","",IFERROR(B31+VLOOKUP(C31,Lists!$A$2:$B$101,2,FALSE),"Check duration"))</x:f>
      </x:c>
      <x:c r="E31" s="19" t="str">
        <x:f>IF(A31="","",IF(ISNUMBER(D31),IF(D31&lt;TODAY(),"Expired",IF(D31&lt;=TODAY()+7,"Expiring Soon","Active")),"Check Duration"))</x:f>
      </x:c>
      <x:c r="F31" s="19"/>
      <x:c r="G31" s="22"/>
      <x:c r="H31" s="22"/>
      <x:c r="I31" s="19"/>
      <x:c r="J31" s="19"/>
      <x:c r="K31" s="19" t="str">
        <x:f>IF(A31="","",IF(E31="Expired","",IF(E31="Check Duration","",COUNTIFS($A$5:$A$204,"&lt;"&amp;A31,$E$5:$E$204,"&lt;&gt;Expired",$E$5:$E$204,"&lt;&gt;Check Duration")+COUNTIFS($A$5:A31,A31,$E$5:E31,"&lt;&gt;Expired",$E$5:E31,"&lt;&gt;Check Duration"))))</x:f>
      </x:c>
    </x:row>
    <x:row r="32">
      <x:c r="A32" s="21"/>
      <x:c r="B32" s="20"/>
      <x:c r="C32" s="19"/>
      <x:c r="D32" s="20" t="str">
        <x:f>IF(A32="","",IFERROR(B32+VLOOKUP(C32,Lists!$A$2:$B$101,2,FALSE),"Check duration"))</x:f>
      </x:c>
      <x:c r="E32" s="19" t="str">
        <x:f>IF(A32="","",IF(ISNUMBER(D32),IF(D32&lt;TODAY(),"Expired",IF(D32&lt;=TODAY()+7,"Expiring Soon","Active")),"Check Duration"))</x:f>
      </x:c>
      <x:c r="F32" s="19"/>
      <x:c r="G32" s="22"/>
      <x:c r="H32" s="22"/>
      <x:c r="I32" s="19"/>
      <x:c r="J32" s="19"/>
      <x:c r="K32" s="19" t="str">
        <x:f>IF(A32="","",IF(E32="Expired","",IF(E32="Check Duration","",COUNTIFS($A$5:$A$204,"&lt;"&amp;A32,$E$5:$E$204,"&lt;&gt;Expired",$E$5:$E$204,"&lt;&gt;Check Duration")+COUNTIFS($A$5:A32,A32,$E$5:E32,"&lt;&gt;Expired",$E$5:E32,"&lt;&gt;Check Duration"))))</x:f>
      </x:c>
    </x:row>
    <x:row r="33">
      <x:c r="A33" s="21"/>
      <x:c r="B33" s="20"/>
      <x:c r="C33" s="19"/>
      <x:c r="D33" s="20" t="str">
        <x:f>IF(A33="","",IFERROR(B33+VLOOKUP(C33,Lists!$A$2:$B$101,2,FALSE),"Check duration"))</x:f>
      </x:c>
      <x:c r="E33" s="19" t="str">
        <x:f>IF(A33="","",IF(ISNUMBER(D33),IF(D33&lt;TODAY(),"Expired",IF(D33&lt;=TODAY()+7,"Expiring Soon","Active")),"Check Duration"))</x:f>
      </x:c>
      <x:c r="F33" s="19"/>
      <x:c r="G33" s="22"/>
      <x:c r="H33" s="22"/>
      <x:c r="I33" s="19"/>
      <x:c r="J33" s="19"/>
      <x:c r="K33" s="19" t="str">
        <x:f>IF(A33="","",IF(E33="Expired","",IF(E33="Check Duration","",COUNTIFS($A$5:$A$204,"&lt;"&amp;A33,$E$5:$E$204,"&lt;&gt;Expired",$E$5:$E$204,"&lt;&gt;Check Duration")+COUNTIFS($A$5:A33,A33,$E$5:E33,"&lt;&gt;Expired",$E$5:E33,"&lt;&gt;Check Duration"))))</x:f>
      </x:c>
    </x:row>
    <x:row r="34">
      <x:c r="A34" s="21"/>
      <x:c r="B34" s="20"/>
      <x:c r="C34" s="19"/>
      <x:c r="D34" s="20" t="str">
        <x:f>IF(A34="","",IFERROR(B34+VLOOKUP(C34,Lists!$A$2:$B$101,2,FALSE),"Check duration"))</x:f>
      </x:c>
      <x:c r="E34" s="19" t="str">
        <x:f>IF(A34="","",IF(ISNUMBER(D34),IF(D34&lt;TODAY(),"Expired",IF(D34&lt;=TODAY()+7,"Expiring Soon","Active")),"Check Duration"))</x:f>
      </x:c>
      <x:c r="F34" s="19"/>
      <x:c r="G34" s="22"/>
      <x:c r="H34" s="22"/>
      <x:c r="I34" s="19"/>
      <x:c r="J34" s="19"/>
      <x:c r="K34" s="19" t="str">
        <x:f>IF(A34="","",IF(E34="Expired","",IF(E34="Check Duration","",COUNTIFS($A$5:$A$204,"&lt;"&amp;A34,$E$5:$E$204,"&lt;&gt;Expired",$E$5:$E$204,"&lt;&gt;Check Duration")+COUNTIFS($A$5:A34,A34,$E$5:E34,"&lt;&gt;Expired",$E$5:E34,"&lt;&gt;Check Duration"))))</x:f>
      </x:c>
    </x:row>
    <x:row r="35">
      <x:c r="A35" s="21"/>
      <x:c r="B35" s="20"/>
      <x:c r="C35" s="19"/>
      <x:c r="D35" s="20" t="str">
        <x:f>IF(A35="","",IFERROR(B35+VLOOKUP(C35,Lists!$A$2:$B$101,2,FALSE),"Check duration"))</x:f>
      </x:c>
      <x:c r="E35" s="19" t="str">
        <x:f>IF(A35="","",IF(ISNUMBER(D35),IF(D35&lt;TODAY(),"Expired",IF(D35&lt;=TODAY()+7,"Expiring Soon","Active")),"Check Duration"))</x:f>
      </x:c>
      <x:c r="F35" s="19"/>
      <x:c r="G35" s="22"/>
      <x:c r="H35" s="22"/>
      <x:c r="I35" s="19"/>
      <x:c r="J35" s="19"/>
      <x:c r="K35" s="19" t="str">
        <x:f>IF(A35="","",IF(E35="Expired","",IF(E35="Check Duration","",COUNTIFS($A$5:$A$204,"&lt;"&amp;A35,$E$5:$E$204,"&lt;&gt;Expired",$E$5:$E$204,"&lt;&gt;Check Duration")+COUNTIFS($A$5:A35,A35,$E$5:E35,"&lt;&gt;Expired",$E$5:E35,"&lt;&gt;Check Duration"))))</x:f>
      </x:c>
    </x:row>
    <x:row r="36">
      <x:c r="A36" s="21"/>
      <x:c r="B36" s="20"/>
      <x:c r="C36" s="19"/>
      <x:c r="D36" s="20" t="str">
        <x:f>IF(A36="","",IFERROR(B36+VLOOKUP(C36,Lists!$A$2:$B$101,2,FALSE),"Check duration"))</x:f>
      </x:c>
      <x:c r="E36" s="19" t="str">
        <x:f>IF(A36="","",IF(ISNUMBER(D36),IF(D36&lt;TODAY(),"Expired",IF(D36&lt;=TODAY()+7,"Expiring Soon","Active")),"Check Duration"))</x:f>
      </x:c>
      <x:c r="F36" s="19"/>
      <x:c r="G36" s="22"/>
      <x:c r="H36" s="22"/>
      <x:c r="I36" s="19"/>
      <x:c r="J36" s="19"/>
      <x:c r="K36" s="19" t="str">
        <x:f>IF(A36="","",IF(E36="Expired","",IF(E36="Check Duration","",COUNTIFS($A$5:$A$204,"&lt;"&amp;A36,$E$5:$E$204,"&lt;&gt;Expired",$E$5:$E$204,"&lt;&gt;Check Duration")+COUNTIFS($A$5:A36,A36,$E$5:E36,"&lt;&gt;Expired",$E$5:E36,"&lt;&gt;Check Duration"))))</x:f>
      </x:c>
    </x:row>
    <x:row r="37">
      <x:c r="A37" s="21"/>
      <x:c r="B37" s="20"/>
      <x:c r="C37" s="19"/>
      <x:c r="D37" s="20" t="str">
        <x:f>IF(A37="","",IFERROR(B37+VLOOKUP(C37,Lists!$A$2:$B$101,2,FALSE),"Check duration"))</x:f>
      </x:c>
      <x:c r="E37" s="19" t="str">
        <x:f>IF(A37="","",IF(ISNUMBER(D37),IF(D37&lt;TODAY(),"Expired",IF(D37&lt;=TODAY()+7,"Expiring Soon","Active")),"Check Duration"))</x:f>
      </x:c>
      <x:c r="F37" s="19"/>
      <x:c r="G37" s="22"/>
      <x:c r="H37" s="22"/>
      <x:c r="I37" s="19"/>
      <x:c r="J37" s="19"/>
      <x:c r="K37" s="19" t="str">
        <x:f>IF(A37="","",IF(E37="Expired","",IF(E37="Check Duration","",COUNTIFS($A$5:$A$204,"&lt;"&amp;A37,$E$5:$E$204,"&lt;&gt;Expired",$E$5:$E$204,"&lt;&gt;Check Duration")+COUNTIFS($A$5:A37,A37,$E$5:E37,"&lt;&gt;Expired",$E$5:E37,"&lt;&gt;Check Duration"))))</x:f>
      </x:c>
    </x:row>
    <x:row r="38">
      <x:c r="A38" s="21"/>
      <x:c r="B38" s="20"/>
      <x:c r="C38" s="19"/>
      <x:c r="D38" s="20" t="str">
        <x:f>IF(A38="","",IFERROR(B38+VLOOKUP(C38,Lists!$A$2:$B$101,2,FALSE),"Check duration"))</x:f>
      </x:c>
      <x:c r="E38" s="19" t="str">
        <x:f>IF(A38="","",IF(ISNUMBER(D38),IF(D38&lt;TODAY(),"Expired",IF(D38&lt;=TODAY()+7,"Expiring Soon","Active")),"Check Duration"))</x:f>
      </x:c>
      <x:c r="F38" s="19"/>
      <x:c r="G38" s="22"/>
      <x:c r="H38" s="22"/>
      <x:c r="I38" s="19"/>
      <x:c r="J38" s="19"/>
      <x:c r="K38" s="19" t="str">
        <x:f>IF(A38="","",IF(E38="Expired","",IF(E38="Check Duration","",COUNTIFS($A$5:$A$204,"&lt;"&amp;A38,$E$5:$E$204,"&lt;&gt;Expired",$E$5:$E$204,"&lt;&gt;Check Duration")+COUNTIFS($A$5:A38,A38,$E$5:E38,"&lt;&gt;Expired",$E$5:E38,"&lt;&gt;Check Duration"))))</x:f>
      </x:c>
    </x:row>
    <x:row r="39">
      <x:c r="A39" s="21"/>
      <x:c r="B39" s="20"/>
      <x:c r="C39" s="19"/>
      <x:c r="D39" s="20" t="str">
        <x:f>IF(A39="","",IFERROR(B39+VLOOKUP(C39,Lists!$A$2:$B$101,2,FALSE),"Check duration"))</x:f>
      </x:c>
      <x:c r="E39" s="19" t="str">
        <x:f>IF(A39="","",IF(ISNUMBER(D39),IF(D39&lt;TODAY(),"Expired",IF(D39&lt;=TODAY()+7,"Expiring Soon","Active")),"Check Duration"))</x:f>
      </x:c>
      <x:c r="F39" s="19"/>
      <x:c r="G39" s="22"/>
      <x:c r="H39" s="22"/>
      <x:c r="I39" s="19"/>
      <x:c r="J39" s="19"/>
      <x:c r="K39" s="19" t="str">
        <x:f>IF(A39="","",IF(E39="Expired","",IF(E39="Check Duration","",COUNTIFS($A$5:$A$204,"&lt;"&amp;A39,$E$5:$E$204,"&lt;&gt;Expired",$E$5:$E$204,"&lt;&gt;Check Duration")+COUNTIFS($A$5:A39,A39,$E$5:E39,"&lt;&gt;Expired",$E$5:E39,"&lt;&gt;Check Duration"))))</x:f>
      </x:c>
    </x:row>
    <x:row r="40">
      <x:c r="A40" s="21"/>
      <x:c r="B40" s="20"/>
      <x:c r="C40" s="19"/>
      <x:c r="D40" s="20" t="str">
        <x:f>IF(A40="","",IFERROR(B40+VLOOKUP(C40,Lists!$A$2:$B$101,2,FALSE),"Check duration"))</x:f>
      </x:c>
      <x:c r="E40" s="19" t="str">
        <x:f>IF(A40="","",IF(ISNUMBER(D40),IF(D40&lt;TODAY(),"Expired",IF(D40&lt;=TODAY()+7,"Expiring Soon","Active")),"Check Duration"))</x:f>
      </x:c>
      <x:c r="F40" s="19"/>
      <x:c r="G40" s="22"/>
      <x:c r="H40" s="22"/>
      <x:c r="I40" s="19"/>
      <x:c r="J40" s="19"/>
      <x:c r="K40" s="19" t="str">
        <x:f>IF(A40="","",IF(E40="Expired","",IF(E40="Check Duration","",COUNTIFS($A$5:$A$204,"&lt;"&amp;A40,$E$5:$E$204,"&lt;&gt;Expired",$E$5:$E$204,"&lt;&gt;Check Duration")+COUNTIFS($A$5:A40,A40,$E$5:E40,"&lt;&gt;Expired",$E$5:E40,"&lt;&gt;Check Duration"))))</x:f>
      </x:c>
    </x:row>
    <x:row r="41">
      <x:c r="A41" s="21"/>
      <x:c r="B41" s="20"/>
      <x:c r="C41" s="19"/>
      <x:c r="D41" s="20" t="str">
        <x:f>IF(A41="","",IFERROR(B41+VLOOKUP(C41,Lists!$A$2:$B$101,2,FALSE),"Check duration"))</x:f>
      </x:c>
      <x:c r="E41" s="19" t="str">
        <x:f>IF(A41="","",IF(ISNUMBER(D41),IF(D41&lt;TODAY(),"Expired",IF(D41&lt;=TODAY()+7,"Expiring Soon","Active")),"Check Duration"))</x:f>
      </x:c>
      <x:c r="F41" s="19"/>
      <x:c r="G41" s="22"/>
      <x:c r="H41" s="22"/>
      <x:c r="I41" s="19"/>
      <x:c r="J41" s="19"/>
      <x:c r="K41" s="19" t="str">
        <x:f>IF(A41="","",IF(E41="Expired","",IF(E41="Check Duration","",COUNTIFS($A$5:$A$204,"&lt;"&amp;A41,$E$5:$E$204,"&lt;&gt;Expired",$E$5:$E$204,"&lt;&gt;Check Duration")+COUNTIFS($A$5:A41,A41,$E$5:E41,"&lt;&gt;Expired",$E$5:E41,"&lt;&gt;Check Duration"))))</x:f>
      </x:c>
    </x:row>
    <x:row r="42">
      <x:c r="A42" s="21"/>
      <x:c r="B42" s="20"/>
      <x:c r="C42" s="19"/>
      <x:c r="D42" s="20" t="str">
        <x:f>IF(A42="","",IFERROR(B42+VLOOKUP(C42,Lists!$A$2:$B$101,2,FALSE),"Check duration"))</x:f>
      </x:c>
      <x:c r="E42" s="19" t="str">
        <x:f>IF(A42="","",IF(ISNUMBER(D42),IF(D42&lt;TODAY(),"Expired",IF(D42&lt;=TODAY()+7,"Expiring Soon","Active")),"Check Duration"))</x:f>
      </x:c>
      <x:c r="F42" s="19"/>
      <x:c r="G42" s="22"/>
      <x:c r="H42" s="22"/>
      <x:c r="I42" s="19"/>
      <x:c r="J42" s="19"/>
      <x:c r="K42" s="19" t="str">
        <x:f>IF(A42="","",IF(E42="Expired","",IF(E42="Check Duration","",COUNTIFS($A$5:$A$204,"&lt;"&amp;A42,$E$5:$E$204,"&lt;&gt;Expired",$E$5:$E$204,"&lt;&gt;Check Duration")+COUNTIFS($A$5:A42,A42,$E$5:E42,"&lt;&gt;Expired",$E$5:E42,"&lt;&gt;Check Duration"))))</x:f>
      </x:c>
    </x:row>
    <x:row r="43">
      <x:c r="A43" s="21"/>
      <x:c r="B43" s="20"/>
      <x:c r="C43" s="19"/>
      <x:c r="D43" s="20" t="str">
        <x:f>IF(A43="","",IFERROR(B43+VLOOKUP(C43,Lists!$A$2:$B$101,2,FALSE),"Check duration"))</x:f>
      </x:c>
      <x:c r="E43" s="19" t="str">
        <x:f>IF(A43="","",IF(ISNUMBER(D43),IF(D43&lt;TODAY(),"Expired",IF(D43&lt;=TODAY()+7,"Expiring Soon","Active")),"Check Duration"))</x:f>
      </x:c>
      <x:c r="F43" s="19"/>
      <x:c r="G43" s="22"/>
      <x:c r="H43" s="22"/>
      <x:c r="I43" s="19"/>
      <x:c r="J43" s="19"/>
      <x:c r="K43" s="19" t="str">
        <x:f>IF(A43="","",IF(E43="Expired","",IF(E43="Check Duration","",COUNTIFS($A$5:$A$204,"&lt;"&amp;A43,$E$5:$E$204,"&lt;&gt;Expired",$E$5:$E$204,"&lt;&gt;Check Duration")+COUNTIFS($A$5:A43,A43,$E$5:E43,"&lt;&gt;Expired",$E$5:E43,"&lt;&gt;Check Duration"))))</x:f>
      </x:c>
    </x:row>
    <x:row r="44">
      <x:c r="A44" s="21"/>
      <x:c r="B44" s="20"/>
      <x:c r="C44" s="19"/>
      <x:c r="D44" s="20" t="str">
        <x:f>IF(A44="","",IFERROR(B44+VLOOKUP(C44,Lists!$A$2:$B$101,2,FALSE),"Check duration"))</x:f>
      </x:c>
      <x:c r="E44" s="19" t="str">
        <x:f>IF(A44="","",IF(ISNUMBER(D44),IF(D44&lt;TODAY(),"Expired",IF(D44&lt;=TODAY()+7,"Expiring Soon","Active")),"Check Duration"))</x:f>
      </x:c>
      <x:c r="F44" s="19"/>
      <x:c r="G44" s="22"/>
      <x:c r="H44" s="22"/>
      <x:c r="I44" s="19"/>
      <x:c r="J44" s="19"/>
      <x:c r="K44" s="19" t="str">
        <x:f>IF(A44="","",IF(E44="Expired","",IF(E44="Check Duration","",COUNTIFS($A$5:$A$204,"&lt;"&amp;A44,$E$5:$E$204,"&lt;&gt;Expired",$E$5:$E$204,"&lt;&gt;Check Duration")+COUNTIFS($A$5:A44,A44,$E$5:E44,"&lt;&gt;Expired",$E$5:E44,"&lt;&gt;Check Duration"))))</x:f>
      </x:c>
    </x:row>
    <x:row r="45">
      <x:c r="A45" s="21"/>
      <x:c r="B45" s="20"/>
      <x:c r="C45" s="19"/>
      <x:c r="D45" s="20" t="str">
        <x:f>IF(A45="","",IFERROR(B45+VLOOKUP(C45,Lists!$A$2:$B$101,2,FALSE),"Check duration"))</x:f>
      </x:c>
      <x:c r="E45" s="19" t="str">
        <x:f>IF(A45="","",IF(ISNUMBER(D45),IF(D45&lt;TODAY(),"Expired",IF(D45&lt;=TODAY()+7,"Expiring Soon","Active")),"Check Duration"))</x:f>
      </x:c>
      <x:c r="F45" s="19"/>
      <x:c r="G45" s="22"/>
      <x:c r="H45" s="22"/>
      <x:c r="I45" s="19"/>
      <x:c r="J45" s="19"/>
      <x:c r="K45" s="19" t="str">
        <x:f>IF(A45="","",IF(E45="Expired","",IF(E45="Check Duration","",COUNTIFS($A$5:$A$204,"&lt;"&amp;A45,$E$5:$E$204,"&lt;&gt;Expired",$E$5:$E$204,"&lt;&gt;Check Duration")+COUNTIFS($A$5:A45,A45,$E$5:E45,"&lt;&gt;Expired",$E$5:E45,"&lt;&gt;Check Duration"))))</x:f>
      </x:c>
    </x:row>
    <x:row r="46">
      <x:c r="A46" s="21"/>
      <x:c r="B46" s="20"/>
      <x:c r="C46" s="19"/>
      <x:c r="D46" s="20" t="str">
        <x:f>IF(A46="","",IFERROR(B46+VLOOKUP(C46,Lists!$A$2:$B$101,2,FALSE),"Check duration"))</x:f>
      </x:c>
      <x:c r="E46" s="19" t="str">
        <x:f>IF(A46="","",IF(ISNUMBER(D46),IF(D46&lt;TODAY(),"Expired",IF(D46&lt;=TODAY()+7,"Expiring Soon","Active")),"Check Duration"))</x:f>
      </x:c>
      <x:c r="F46" s="19"/>
      <x:c r="G46" s="22"/>
      <x:c r="H46" s="22"/>
      <x:c r="I46" s="19"/>
      <x:c r="J46" s="19"/>
      <x:c r="K46" s="19" t="str">
        <x:f>IF(A46="","",IF(E46="Expired","",IF(E46="Check Duration","",COUNTIFS($A$5:$A$204,"&lt;"&amp;A46,$E$5:$E$204,"&lt;&gt;Expired",$E$5:$E$204,"&lt;&gt;Check Duration")+COUNTIFS($A$5:A46,A46,$E$5:E46,"&lt;&gt;Expired",$E$5:E46,"&lt;&gt;Check Duration"))))</x:f>
      </x:c>
    </x:row>
    <x:row r="47">
      <x:c r="A47" s="21"/>
      <x:c r="B47" s="20"/>
      <x:c r="C47" s="19"/>
      <x:c r="D47" s="20" t="str">
        <x:f>IF(A47="","",IFERROR(B47+VLOOKUP(C47,Lists!$A$2:$B$101,2,FALSE),"Check duration"))</x:f>
      </x:c>
      <x:c r="E47" s="19" t="str">
        <x:f>IF(A47="","",IF(ISNUMBER(D47),IF(D47&lt;TODAY(),"Expired",IF(D47&lt;=TODAY()+7,"Expiring Soon","Active")),"Check Duration"))</x:f>
      </x:c>
      <x:c r="F47" s="19"/>
      <x:c r="G47" s="22"/>
      <x:c r="H47" s="22"/>
      <x:c r="I47" s="19"/>
      <x:c r="J47" s="19"/>
      <x:c r="K47" s="19" t="str">
        <x:f>IF(A47="","",IF(E47="Expired","",IF(E47="Check Duration","",COUNTIFS($A$5:$A$204,"&lt;"&amp;A47,$E$5:$E$204,"&lt;&gt;Expired",$E$5:$E$204,"&lt;&gt;Check Duration")+COUNTIFS($A$5:A47,A47,$E$5:E47,"&lt;&gt;Expired",$E$5:E47,"&lt;&gt;Check Duration"))))</x:f>
      </x:c>
    </x:row>
    <x:row r="48">
      <x:c r="A48" s="21"/>
      <x:c r="B48" s="20"/>
      <x:c r="C48" s="19"/>
      <x:c r="D48" s="20" t="str">
        <x:f>IF(A48="","",IFERROR(B48+VLOOKUP(C48,Lists!$A$2:$B$101,2,FALSE),"Check duration"))</x:f>
      </x:c>
      <x:c r="E48" s="19" t="str">
        <x:f>IF(A48="","",IF(ISNUMBER(D48),IF(D48&lt;TODAY(),"Expired",IF(D48&lt;=TODAY()+7,"Expiring Soon","Active")),"Check Duration"))</x:f>
      </x:c>
      <x:c r="F48" s="19"/>
      <x:c r="G48" s="22"/>
      <x:c r="H48" s="22"/>
      <x:c r="I48" s="19"/>
      <x:c r="J48" s="19"/>
      <x:c r="K48" s="19" t="str">
        <x:f>IF(A48="","",IF(E48="Expired","",IF(E48="Check Duration","",COUNTIFS($A$5:$A$204,"&lt;"&amp;A48,$E$5:$E$204,"&lt;&gt;Expired",$E$5:$E$204,"&lt;&gt;Check Duration")+COUNTIFS($A$5:A48,A48,$E$5:E48,"&lt;&gt;Expired",$E$5:E48,"&lt;&gt;Check Duration"))))</x:f>
      </x:c>
    </x:row>
    <x:row r="49">
      <x:c r="A49" s="21"/>
      <x:c r="B49" s="20"/>
      <x:c r="C49" s="19"/>
      <x:c r="D49" s="20" t="str">
        <x:f>IF(A49="","",IFERROR(B49+VLOOKUP(C49,Lists!$A$2:$B$101,2,FALSE),"Check duration"))</x:f>
      </x:c>
      <x:c r="E49" s="19" t="str">
        <x:f>IF(A49="","",IF(ISNUMBER(D49),IF(D49&lt;TODAY(),"Expired",IF(D49&lt;=TODAY()+7,"Expiring Soon","Active")),"Check Duration"))</x:f>
      </x:c>
      <x:c r="F49" s="19"/>
      <x:c r="G49" s="22"/>
      <x:c r="H49" s="22"/>
      <x:c r="I49" s="19"/>
      <x:c r="J49" s="19"/>
      <x:c r="K49" s="19" t="str">
        <x:f>IF(A49="","",IF(E49="Expired","",IF(E49="Check Duration","",COUNTIFS($A$5:$A$204,"&lt;"&amp;A49,$E$5:$E$204,"&lt;&gt;Expired",$E$5:$E$204,"&lt;&gt;Check Duration")+COUNTIFS($A$5:A49,A49,$E$5:E49,"&lt;&gt;Expired",$E$5:E49,"&lt;&gt;Check Duration"))))</x:f>
      </x:c>
    </x:row>
    <x:row r="50">
      <x:c r="A50" s="21"/>
      <x:c r="B50" s="20"/>
      <x:c r="C50" s="19"/>
      <x:c r="D50" s="20" t="str">
        <x:f>IF(A50="","",IFERROR(B50+VLOOKUP(C50,Lists!$A$2:$B$101,2,FALSE),"Check duration"))</x:f>
      </x:c>
      <x:c r="E50" s="19" t="str">
        <x:f>IF(A50="","",IF(ISNUMBER(D50),IF(D50&lt;TODAY(),"Expired",IF(D50&lt;=TODAY()+7,"Expiring Soon","Active")),"Check Duration"))</x:f>
      </x:c>
      <x:c r="F50" s="19"/>
      <x:c r="G50" s="22"/>
      <x:c r="H50" s="22"/>
      <x:c r="I50" s="19"/>
      <x:c r="J50" s="19"/>
      <x:c r="K50" s="19" t="str">
        <x:f>IF(A50="","",IF(E50="Expired","",IF(E50="Check Duration","",COUNTIFS($A$5:$A$204,"&lt;"&amp;A50,$E$5:$E$204,"&lt;&gt;Expired",$E$5:$E$204,"&lt;&gt;Check Duration")+COUNTIFS($A$5:A50,A50,$E$5:E50,"&lt;&gt;Expired",$E$5:E50,"&lt;&gt;Check Duration"))))</x:f>
      </x:c>
    </x:row>
    <x:row r="51">
      <x:c r="A51" s="21"/>
      <x:c r="B51" s="20"/>
      <x:c r="C51" s="19"/>
      <x:c r="D51" s="20" t="str">
        <x:f>IF(A51="","",IFERROR(B51+VLOOKUP(C51,Lists!$A$2:$B$101,2,FALSE),"Check duration"))</x:f>
      </x:c>
      <x:c r="E51" s="19" t="str">
        <x:f>IF(A51="","",IF(ISNUMBER(D51),IF(D51&lt;TODAY(),"Expired",IF(D51&lt;=TODAY()+7,"Expiring Soon","Active")),"Check Duration"))</x:f>
      </x:c>
      <x:c r="F51" s="19"/>
      <x:c r="G51" s="22"/>
      <x:c r="H51" s="22"/>
      <x:c r="I51" s="19"/>
      <x:c r="J51" s="19"/>
      <x:c r="K51" s="19" t="str">
        <x:f>IF(A51="","",IF(E51="Expired","",IF(E51="Check Duration","",COUNTIFS($A$5:$A$204,"&lt;"&amp;A51,$E$5:$E$204,"&lt;&gt;Expired",$E$5:$E$204,"&lt;&gt;Check Duration")+COUNTIFS($A$5:A51,A51,$E$5:E51,"&lt;&gt;Expired",$E$5:E51,"&lt;&gt;Check Duration"))))</x:f>
      </x:c>
    </x:row>
    <x:row r="52">
      <x:c r="A52" s="21"/>
      <x:c r="B52" s="20"/>
      <x:c r="C52" s="19"/>
      <x:c r="D52" s="20" t="str">
        <x:f>IF(A52="","",IFERROR(B52+VLOOKUP(C52,Lists!$A$2:$B$101,2,FALSE),"Check duration"))</x:f>
      </x:c>
      <x:c r="E52" s="19" t="str">
        <x:f>IF(A52="","",IF(ISNUMBER(D52),IF(D52&lt;TODAY(),"Expired",IF(D52&lt;=TODAY()+7,"Expiring Soon","Active")),"Check Duration"))</x:f>
      </x:c>
      <x:c r="F52" s="19"/>
      <x:c r="G52" s="22"/>
      <x:c r="H52" s="22"/>
      <x:c r="I52" s="19"/>
      <x:c r="J52" s="19"/>
      <x:c r="K52" s="19" t="str">
        <x:f>IF(A52="","",IF(E52="Expired","",IF(E52="Check Duration","",COUNTIFS($A$5:$A$204,"&lt;"&amp;A52,$E$5:$E$204,"&lt;&gt;Expired",$E$5:$E$204,"&lt;&gt;Check Duration")+COUNTIFS($A$5:A52,A52,$E$5:E52,"&lt;&gt;Expired",$E$5:E52,"&lt;&gt;Check Duration"))))</x:f>
      </x:c>
    </x:row>
    <x:row r="53">
      <x:c r="A53" s="21"/>
      <x:c r="B53" s="20"/>
      <x:c r="C53" s="19"/>
      <x:c r="D53" s="20" t="str">
        <x:f>IF(A53="","",IFERROR(B53+VLOOKUP(C53,Lists!$A$2:$B$101,2,FALSE),"Check duration"))</x:f>
      </x:c>
      <x:c r="E53" s="19" t="str">
        <x:f>IF(A53="","",IF(ISNUMBER(D53),IF(D53&lt;TODAY(),"Expired",IF(D53&lt;=TODAY()+7,"Expiring Soon","Active")),"Check Duration"))</x:f>
      </x:c>
      <x:c r="F53" s="19"/>
      <x:c r="G53" s="22"/>
      <x:c r="H53" s="22"/>
      <x:c r="I53" s="19"/>
      <x:c r="J53" s="19"/>
      <x:c r="K53" s="19" t="str">
        <x:f>IF(A53="","",IF(E53="Expired","",IF(E53="Check Duration","",COUNTIFS($A$5:$A$204,"&lt;"&amp;A53,$E$5:$E$204,"&lt;&gt;Expired",$E$5:$E$204,"&lt;&gt;Check Duration")+COUNTIFS($A$5:A53,A53,$E$5:E53,"&lt;&gt;Expired",$E$5:E53,"&lt;&gt;Check Duration"))))</x:f>
      </x:c>
    </x:row>
    <x:row r="54">
      <x:c r="A54" s="21"/>
      <x:c r="B54" s="20"/>
      <x:c r="C54" s="19"/>
      <x:c r="D54" s="20" t="str">
        <x:f>IF(A54="","",IFERROR(B54+VLOOKUP(C54,Lists!$A$2:$B$101,2,FALSE),"Check duration"))</x:f>
      </x:c>
      <x:c r="E54" s="19" t="str">
        <x:f>IF(A54="","",IF(ISNUMBER(D54),IF(D54&lt;TODAY(),"Expired",IF(D54&lt;=TODAY()+7,"Expiring Soon","Active")),"Check Duration"))</x:f>
      </x:c>
      <x:c r="F54" s="19"/>
      <x:c r="G54" s="22"/>
      <x:c r="H54" s="22"/>
      <x:c r="I54" s="19"/>
      <x:c r="J54" s="19"/>
      <x:c r="K54" s="19" t="str">
        <x:f>IF(A54="","",IF(E54="Expired","",IF(E54="Check Duration","",COUNTIFS($A$5:$A$204,"&lt;"&amp;A54,$E$5:$E$204,"&lt;&gt;Expired",$E$5:$E$204,"&lt;&gt;Check Duration")+COUNTIFS($A$5:A54,A54,$E$5:E54,"&lt;&gt;Expired",$E$5:E54,"&lt;&gt;Check Duration"))))</x:f>
      </x:c>
    </x:row>
    <x:row r="55">
      <x:c r="A55" s="21"/>
      <x:c r="B55" s="20"/>
      <x:c r="C55" s="19"/>
      <x:c r="D55" s="20" t="str">
        <x:f>IF(A55="","",IFERROR(B55+VLOOKUP(C55,Lists!$A$2:$B$101,2,FALSE),"Check duration"))</x:f>
      </x:c>
      <x:c r="E55" s="19" t="str">
        <x:f>IF(A55="","",IF(ISNUMBER(D55),IF(D55&lt;TODAY(),"Expired",IF(D55&lt;=TODAY()+7,"Expiring Soon","Active")),"Check Duration"))</x:f>
      </x:c>
      <x:c r="F55" s="19"/>
      <x:c r="G55" s="22"/>
      <x:c r="H55" s="22"/>
      <x:c r="I55" s="19"/>
      <x:c r="J55" s="19"/>
      <x:c r="K55" s="19" t="str">
        <x:f>IF(A55="","",IF(E55="Expired","",IF(E55="Check Duration","",COUNTIFS($A$5:$A$204,"&lt;"&amp;A55,$E$5:$E$204,"&lt;&gt;Expired",$E$5:$E$204,"&lt;&gt;Check Duration")+COUNTIFS($A$5:A55,A55,$E$5:E55,"&lt;&gt;Expired",$E$5:E55,"&lt;&gt;Check Duration"))))</x:f>
      </x:c>
    </x:row>
    <x:row r="56">
      <x:c r="A56" s="21"/>
      <x:c r="B56" s="20"/>
      <x:c r="C56" s="19"/>
      <x:c r="D56" s="20" t="str">
        <x:f>IF(A56="","",IFERROR(B56+VLOOKUP(C56,Lists!$A$2:$B$101,2,FALSE),"Check duration"))</x:f>
      </x:c>
      <x:c r="E56" s="19" t="str">
        <x:f>IF(A56="","",IF(ISNUMBER(D56),IF(D56&lt;TODAY(),"Expired",IF(D56&lt;=TODAY()+7,"Expiring Soon","Active")),"Check Duration"))</x:f>
      </x:c>
      <x:c r="F56" s="19"/>
      <x:c r="G56" s="22"/>
      <x:c r="H56" s="22"/>
      <x:c r="I56" s="19"/>
      <x:c r="J56" s="19"/>
      <x:c r="K56" s="19" t="str">
        <x:f>IF(A56="","",IF(E56="Expired","",IF(E56="Check Duration","",COUNTIFS($A$5:$A$204,"&lt;"&amp;A56,$E$5:$E$204,"&lt;&gt;Expired",$E$5:$E$204,"&lt;&gt;Check Duration")+COUNTIFS($A$5:A56,A56,$E$5:E56,"&lt;&gt;Expired",$E$5:E56,"&lt;&gt;Check Duration"))))</x:f>
      </x:c>
    </x:row>
    <x:row r="57">
      <x:c r="A57" s="21"/>
      <x:c r="B57" s="20"/>
      <x:c r="C57" s="19"/>
      <x:c r="D57" s="20" t="str">
        <x:f>IF(A57="","",IFERROR(B57+VLOOKUP(C57,Lists!$A$2:$B$101,2,FALSE),"Check duration"))</x:f>
      </x:c>
      <x:c r="E57" s="19" t="str">
        <x:f>IF(A57="","",IF(ISNUMBER(D57),IF(D57&lt;TODAY(),"Expired",IF(D57&lt;=TODAY()+7,"Expiring Soon","Active")),"Check Duration"))</x:f>
      </x:c>
      <x:c r="F57" s="19"/>
      <x:c r="G57" s="22"/>
      <x:c r="H57" s="22"/>
      <x:c r="I57" s="19"/>
      <x:c r="J57" s="19"/>
      <x:c r="K57" s="19" t="str">
        <x:f>IF(A57="","",IF(E57="Expired","",IF(E57="Check Duration","",COUNTIFS($A$5:$A$204,"&lt;"&amp;A57,$E$5:$E$204,"&lt;&gt;Expired",$E$5:$E$204,"&lt;&gt;Check Duration")+COUNTIFS($A$5:A57,A57,$E$5:E57,"&lt;&gt;Expired",$E$5:E57,"&lt;&gt;Check Duration"))))</x:f>
      </x:c>
    </x:row>
    <x:row r="58">
      <x:c r="A58" s="21"/>
      <x:c r="B58" s="20"/>
      <x:c r="C58" s="19"/>
      <x:c r="D58" s="20" t="str">
        <x:f>IF(A58="","",IFERROR(B58+VLOOKUP(C58,Lists!$A$2:$B$101,2,FALSE),"Check duration"))</x:f>
      </x:c>
      <x:c r="E58" s="19" t="str">
        <x:f>IF(A58="","",IF(ISNUMBER(D58),IF(D58&lt;TODAY(),"Expired",IF(D58&lt;=TODAY()+7,"Expiring Soon","Active")),"Check Duration"))</x:f>
      </x:c>
      <x:c r="F58" s="19"/>
      <x:c r="G58" s="22"/>
      <x:c r="H58" s="22"/>
      <x:c r="I58" s="19"/>
      <x:c r="J58" s="19"/>
      <x:c r="K58" s="19" t="str">
        <x:f>IF(A58="","",IF(E58="Expired","",IF(E58="Check Duration","",COUNTIFS($A$5:$A$204,"&lt;"&amp;A58,$E$5:$E$204,"&lt;&gt;Expired",$E$5:$E$204,"&lt;&gt;Check Duration")+COUNTIFS($A$5:A58,A58,$E$5:E58,"&lt;&gt;Expired",$E$5:E58,"&lt;&gt;Check Duration"))))</x:f>
      </x:c>
    </x:row>
    <x:row r="59">
      <x:c r="A59" s="21"/>
      <x:c r="B59" s="20"/>
      <x:c r="C59" s="19"/>
      <x:c r="D59" s="20" t="str">
        <x:f>IF(A59="","",IFERROR(B59+VLOOKUP(C59,Lists!$A$2:$B$101,2,FALSE),"Check duration"))</x:f>
      </x:c>
      <x:c r="E59" s="19" t="str">
        <x:f>IF(A59="","",IF(ISNUMBER(D59),IF(D59&lt;TODAY(),"Expired",IF(D59&lt;=TODAY()+7,"Expiring Soon","Active")),"Check Duration"))</x:f>
      </x:c>
      <x:c r="F59" s="19"/>
      <x:c r="G59" s="22"/>
      <x:c r="H59" s="22"/>
      <x:c r="I59" s="19"/>
      <x:c r="J59" s="19"/>
      <x:c r="K59" s="19" t="str">
        <x:f>IF(A59="","",IF(E59="Expired","",IF(E59="Check Duration","",COUNTIFS($A$5:$A$204,"&lt;"&amp;A59,$E$5:$E$204,"&lt;&gt;Expired",$E$5:$E$204,"&lt;&gt;Check Duration")+COUNTIFS($A$5:A59,A59,$E$5:E59,"&lt;&gt;Expired",$E$5:E59,"&lt;&gt;Check Duration"))))</x:f>
      </x:c>
    </x:row>
    <x:row r="60">
      <x:c r="A60" s="21"/>
      <x:c r="B60" s="20"/>
      <x:c r="C60" s="19"/>
      <x:c r="D60" s="20" t="str">
        <x:f>IF(A60="","",IFERROR(B60+VLOOKUP(C60,Lists!$A$2:$B$101,2,FALSE),"Check duration"))</x:f>
      </x:c>
      <x:c r="E60" s="19" t="str">
        <x:f>IF(A60="","",IF(ISNUMBER(D60),IF(D60&lt;TODAY(),"Expired",IF(D60&lt;=TODAY()+7,"Expiring Soon","Active")),"Check Duration"))</x:f>
      </x:c>
      <x:c r="F60" s="19"/>
      <x:c r="G60" s="22"/>
      <x:c r="H60" s="22"/>
      <x:c r="I60" s="19"/>
      <x:c r="J60" s="19"/>
      <x:c r="K60" s="19" t="str">
        <x:f>IF(A60="","",IF(E60="Expired","",IF(E60="Check Duration","",COUNTIFS($A$5:$A$204,"&lt;"&amp;A60,$E$5:$E$204,"&lt;&gt;Expired",$E$5:$E$204,"&lt;&gt;Check Duration")+COUNTIFS($A$5:A60,A60,$E$5:E60,"&lt;&gt;Expired",$E$5:E60,"&lt;&gt;Check Duration"))))</x:f>
      </x:c>
    </x:row>
    <x:row r="61">
      <x:c r="A61" s="21"/>
      <x:c r="B61" s="20"/>
      <x:c r="C61" s="19"/>
      <x:c r="D61" s="20" t="str">
        <x:f>IF(A61="","",IFERROR(B61+VLOOKUP(C61,Lists!$A$2:$B$101,2,FALSE),"Check duration"))</x:f>
      </x:c>
      <x:c r="E61" s="19" t="str">
        <x:f>IF(A61="","",IF(ISNUMBER(D61),IF(D61&lt;TODAY(),"Expired",IF(D61&lt;=TODAY()+7,"Expiring Soon","Active")),"Check Duration"))</x:f>
      </x:c>
      <x:c r="F61" s="19"/>
      <x:c r="G61" s="22"/>
      <x:c r="H61" s="22"/>
      <x:c r="I61" s="19"/>
      <x:c r="J61" s="19"/>
      <x:c r="K61" s="19" t="str">
        <x:f>IF(A61="","",IF(E61="Expired","",IF(E61="Check Duration","",COUNTIFS($A$5:$A$204,"&lt;"&amp;A61,$E$5:$E$204,"&lt;&gt;Expired",$E$5:$E$204,"&lt;&gt;Check Duration")+COUNTIFS($A$5:A61,A61,$E$5:E61,"&lt;&gt;Expired",$E$5:E61,"&lt;&gt;Check Duration"))))</x:f>
      </x:c>
    </x:row>
    <x:row r="62">
      <x:c r="A62" s="21"/>
      <x:c r="B62" s="20"/>
      <x:c r="C62" s="19"/>
      <x:c r="D62" s="20" t="str">
        <x:f>IF(A62="","",IFERROR(B62+VLOOKUP(C62,Lists!$A$2:$B$101,2,FALSE),"Check duration"))</x:f>
      </x:c>
      <x:c r="E62" s="19" t="str">
        <x:f>IF(A62="","",IF(ISNUMBER(D62),IF(D62&lt;TODAY(),"Expired",IF(D62&lt;=TODAY()+7,"Expiring Soon","Active")),"Check Duration"))</x:f>
      </x:c>
      <x:c r="F62" s="19"/>
      <x:c r="G62" s="22"/>
      <x:c r="H62" s="22"/>
      <x:c r="I62" s="19"/>
      <x:c r="J62" s="19"/>
      <x:c r="K62" s="19" t="str">
        <x:f>IF(A62="","",IF(E62="Expired","",IF(E62="Check Duration","",COUNTIFS($A$5:$A$204,"&lt;"&amp;A62,$E$5:$E$204,"&lt;&gt;Expired",$E$5:$E$204,"&lt;&gt;Check Duration")+COUNTIFS($A$5:A62,A62,$E$5:E62,"&lt;&gt;Expired",$E$5:E62,"&lt;&gt;Check Duration"))))</x:f>
      </x:c>
    </x:row>
    <x:row r="63">
      <x:c r="A63" s="21"/>
      <x:c r="B63" s="20"/>
      <x:c r="C63" s="19"/>
      <x:c r="D63" s="20" t="str">
        <x:f>IF(A63="","",IFERROR(B63+VLOOKUP(C63,Lists!$A$2:$B$101,2,FALSE),"Check duration"))</x:f>
      </x:c>
      <x:c r="E63" s="19" t="str">
        <x:f>IF(A63="","",IF(ISNUMBER(D63),IF(D63&lt;TODAY(),"Expired",IF(D63&lt;=TODAY()+7,"Expiring Soon","Active")),"Check Duration"))</x:f>
      </x:c>
      <x:c r="F63" s="19"/>
      <x:c r="G63" s="22"/>
      <x:c r="H63" s="22"/>
      <x:c r="I63" s="19"/>
      <x:c r="J63" s="19"/>
      <x:c r="K63" s="19" t="str">
        <x:f>IF(A63="","",IF(E63="Expired","",IF(E63="Check Duration","",COUNTIFS($A$5:$A$204,"&lt;"&amp;A63,$E$5:$E$204,"&lt;&gt;Expired",$E$5:$E$204,"&lt;&gt;Check Duration")+COUNTIFS($A$5:A63,A63,$E$5:E63,"&lt;&gt;Expired",$E$5:E63,"&lt;&gt;Check Duration"))))</x:f>
      </x:c>
    </x:row>
    <x:row r="64">
      <x:c r="A64" s="21"/>
      <x:c r="B64" s="20"/>
      <x:c r="C64" s="19"/>
      <x:c r="D64" s="20" t="str">
        <x:f>IF(A64="","",IFERROR(B64+VLOOKUP(C64,Lists!$A$2:$B$101,2,FALSE),"Check duration"))</x:f>
      </x:c>
      <x:c r="E64" s="19" t="str">
        <x:f>IF(A64="","",IF(ISNUMBER(D64),IF(D64&lt;TODAY(),"Expired",IF(D64&lt;=TODAY()+7,"Expiring Soon","Active")),"Check Duration"))</x:f>
      </x:c>
      <x:c r="F64" s="19"/>
      <x:c r="G64" s="22"/>
      <x:c r="H64" s="22"/>
      <x:c r="I64" s="19"/>
      <x:c r="J64" s="19"/>
      <x:c r="K64" s="19" t="str">
        <x:f>IF(A64="","",IF(E64="Expired","",IF(E64="Check Duration","",COUNTIFS($A$5:$A$204,"&lt;"&amp;A64,$E$5:$E$204,"&lt;&gt;Expired",$E$5:$E$204,"&lt;&gt;Check Duration")+COUNTIFS($A$5:A64,A64,$E$5:E64,"&lt;&gt;Expired",$E$5:E64,"&lt;&gt;Check Duration"))))</x:f>
      </x:c>
    </x:row>
    <x:row r="65">
      <x:c r="A65" s="21"/>
      <x:c r="B65" s="20"/>
      <x:c r="C65" s="19"/>
      <x:c r="D65" s="20" t="str">
        <x:f>IF(A65="","",IFERROR(B65+VLOOKUP(C65,Lists!$A$2:$B$101,2,FALSE),"Check duration"))</x:f>
      </x:c>
      <x:c r="E65" s="19" t="str">
        <x:f>IF(A65="","",IF(ISNUMBER(D65),IF(D65&lt;TODAY(),"Expired",IF(D65&lt;=TODAY()+7,"Expiring Soon","Active")),"Check Duration"))</x:f>
      </x:c>
      <x:c r="F65" s="19"/>
      <x:c r="G65" s="22"/>
      <x:c r="H65" s="22"/>
      <x:c r="I65" s="19"/>
      <x:c r="J65" s="19"/>
      <x:c r="K65" s="19" t="str">
        <x:f>IF(A65="","",IF(E65="Expired","",IF(E65="Check Duration","",COUNTIFS($A$5:$A$204,"&lt;"&amp;A65,$E$5:$E$204,"&lt;&gt;Expired",$E$5:$E$204,"&lt;&gt;Check Duration")+COUNTIFS($A$5:A65,A65,$E$5:E65,"&lt;&gt;Expired",$E$5:E65,"&lt;&gt;Check Duration"))))</x:f>
      </x:c>
    </x:row>
    <x:row r="66">
      <x:c r="A66" s="21"/>
      <x:c r="B66" s="20"/>
      <x:c r="C66" s="19"/>
      <x:c r="D66" s="20" t="str">
        <x:f>IF(A66="","",IFERROR(B66+VLOOKUP(C66,Lists!$A$2:$B$101,2,FALSE),"Check duration"))</x:f>
      </x:c>
      <x:c r="E66" s="19" t="str">
        <x:f>IF(A66="","",IF(ISNUMBER(D66),IF(D66&lt;TODAY(),"Expired",IF(D66&lt;=TODAY()+7,"Expiring Soon","Active")),"Check Duration"))</x:f>
      </x:c>
      <x:c r="F66" s="19"/>
      <x:c r="G66" s="22"/>
      <x:c r="H66" s="22"/>
      <x:c r="I66" s="19"/>
      <x:c r="J66" s="19"/>
      <x:c r="K66" s="19" t="str">
        <x:f>IF(A66="","",IF(E66="Expired","",IF(E66="Check Duration","",COUNTIFS($A$5:$A$204,"&lt;"&amp;A66,$E$5:$E$204,"&lt;&gt;Expired",$E$5:$E$204,"&lt;&gt;Check Duration")+COUNTIFS($A$5:A66,A66,$E$5:E66,"&lt;&gt;Expired",$E$5:E66,"&lt;&gt;Check Duration"))))</x:f>
      </x:c>
    </x:row>
    <x:row r="67">
      <x:c r="A67" s="21"/>
      <x:c r="B67" s="20"/>
      <x:c r="C67" s="19"/>
      <x:c r="D67" s="20" t="str">
        <x:f>IF(A67="","",IFERROR(B67+VLOOKUP(C67,Lists!$A$2:$B$101,2,FALSE),"Check duration"))</x:f>
      </x:c>
      <x:c r="E67" s="19" t="str">
        <x:f>IF(A67="","",IF(ISNUMBER(D67),IF(D67&lt;TODAY(),"Expired",IF(D67&lt;=TODAY()+7,"Expiring Soon","Active")),"Check Duration"))</x:f>
      </x:c>
      <x:c r="F67" s="19"/>
      <x:c r="G67" s="22"/>
      <x:c r="H67" s="22"/>
      <x:c r="I67" s="19"/>
      <x:c r="J67" s="19"/>
      <x:c r="K67" s="19" t="str">
        <x:f>IF(A67="","",IF(E67="Expired","",IF(E67="Check Duration","",COUNTIFS($A$5:$A$204,"&lt;"&amp;A67,$E$5:$E$204,"&lt;&gt;Expired",$E$5:$E$204,"&lt;&gt;Check Duration")+COUNTIFS($A$5:A67,A67,$E$5:E67,"&lt;&gt;Expired",$E$5:E67,"&lt;&gt;Check Duration"))))</x:f>
      </x:c>
    </x:row>
    <x:row r="68">
      <x:c r="A68" s="21"/>
      <x:c r="B68" s="20"/>
      <x:c r="C68" s="19"/>
      <x:c r="D68" s="20" t="str">
        <x:f>IF(A68="","",IFERROR(B68+VLOOKUP(C68,Lists!$A$2:$B$101,2,FALSE),"Check duration"))</x:f>
      </x:c>
      <x:c r="E68" s="19" t="str">
        <x:f>IF(A68="","",IF(ISNUMBER(D68),IF(D68&lt;TODAY(),"Expired",IF(D68&lt;=TODAY()+7,"Expiring Soon","Active")),"Check Duration"))</x:f>
      </x:c>
      <x:c r="F68" s="19"/>
      <x:c r="G68" s="22"/>
      <x:c r="H68" s="22"/>
      <x:c r="I68" s="19"/>
      <x:c r="J68" s="19"/>
      <x:c r="K68" s="19" t="str">
        <x:f>IF(A68="","",IF(E68="Expired","",IF(E68="Check Duration","",COUNTIFS($A$5:$A$204,"&lt;"&amp;A68,$E$5:$E$204,"&lt;&gt;Expired",$E$5:$E$204,"&lt;&gt;Check Duration")+COUNTIFS($A$5:A68,A68,$E$5:E68,"&lt;&gt;Expired",$E$5:E68,"&lt;&gt;Check Duration"))))</x:f>
      </x:c>
    </x:row>
    <x:row r="69">
      <x:c r="A69" s="21"/>
      <x:c r="B69" s="20"/>
      <x:c r="C69" s="19"/>
      <x:c r="D69" s="20" t="str">
        <x:f>IF(A69="","",IFERROR(B69+VLOOKUP(C69,Lists!$A$2:$B$101,2,FALSE),"Check duration"))</x:f>
      </x:c>
      <x:c r="E69" s="19" t="str">
        <x:f>IF(A69="","",IF(ISNUMBER(D69),IF(D69&lt;TODAY(),"Expired",IF(D69&lt;=TODAY()+7,"Expiring Soon","Active")),"Check Duration"))</x:f>
      </x:c>
      <x:c r="F69" s="19"/>
      <x:c r="G69" s="22"/>
      <x:c r="H69" s="22"/>
      <x:c r="I69" s="19"/>
      <x:c r="J69" s="19"/>
      <x:c r="K69" s="19" t="str">
        <x:f>IF(A69="","",IF(E69="Expired","",IF(E69="Check Duration","",COUNTIFS($A$5:$A$204,"&lt;"&amp;A69,$E$5:$E$204,"&lt;&gt;Expired",$E$5:$E$204,"&lt;&gt;Check Duration")+COUNTIFS($A$5:A69,A69,$E$5:E69,"&lt;&gt;Expired",$E$5:E69,"&lt;&gt;Check Duration"))))</x:f>
      </x:c>
    </x:row>
    <x:row r="70">
      <x:c r="A70" s="21"/>
      <x:c r="B70" s="20"/>
      <x:c r="C70" s="19"/>
      <x:c r="D70" s="20" t="str">
        <x:f>IF(A70="","",IFERROR(B70+VLOOKUP(C70,Lists!$A$2:$B$101,2,FALSE),"Check duration"))</x:f>
      </x:c>
      <x:c r="E70" s="19" t="str">
        <x:f>IF(A70="","",IF(ISNUMBER(D70),IF(D70&lt;TODAY(),"Expired",IF(D70&lt;=TODAY()+7,"Expiring Soon","Active")),"Check Duration"))</x:f>
      </x:c>
      <x:c r="F70" s="19"/>
      <x:c r="G70" s="22"/>
      <x:c r="H70" s="22"/>
      <x:c r="I70" s="19"/>
      <x:c r="J70" s="19"/>
      <x:c r="K70" s="19" t="str">
        <x:f>IF(A70="","",IF(E70="Expired","",IF(E70="Check Duration","",COUNTIFS($A$5:$A$204,"&lt;"&amp;A70,$E$5:$E$204,"&lt;&gt;Expired",$E$5:$E$204,"&lt;&gt;Check Duration")+COUNTIFS($A$5:A70,A70,$E$5:E70,"&lt;&gt;Expired",$E$5:E70,"&lt;&gt;Check Duration"))))</x:f>
      </x:c>
    </x:row>
    <x:row r="71">
      <x:c r="A71" s="21"/>
      <x:c r="B71" s="20"/>
      <x:c r="C71" s="19"/>
      <x:c r="D71" s="20" t="str">
        <x:f>IF(A71="","",IFERROR(B71+VLOOKUP(C71,Lists!$A$2:$B$101,2,FALSE),"Check duration"))</x:f>
      </x:c>
      <x:c r="E71" s="19" t="str">
        <x:f>IF(A71="","",IF(ISNUMBER(D71),IF(D71&lt;TODAY(),"Expired",IF(D71&lt;=TODAY()+7,"Expiring Soon","Active")),"Check Duration"))</x:f>
      </x:c>
      <x:c r="F71" s="19"/>
      <x:c r="G71" s="22"/>
      <x:c r="H71" s="22"/>
      <x:c r="I71" s="19"/>
      <x:c r="J71" s="19"/>
      <x:c r="K71" s="19" t="str">
        <x:f>IF(A71="","",IF(E71="Expired","",IF(E71="Check Duration","",COUNTIFS($A$5:$A$204,"&lt;"&amp;A71,$E$5:$E$204,"&lt;&gt;Expired",$E$5:$E$204,"&lt;&gt;Check Duration")+COUNTIFS($A$5:A71,A71,$E$5:E71,"&lt;&gt;Expired",$E$5:E71,"&lt;&gt;Check Duration"))))</x:f>
      </x:c>
    </x:row>
    <x:row r="72">
      <x:c r="A72" s="21"/>
      <x:c r="B72" s="20"/>
      <x:c r="C72" s="19"/>
      <x:c r="D72" s="20" t="str">
        <x:f>IF(A72="","",IFERROR(B72+VLOOKUP(C72,Lists!$A$2:$B$101,2,FALSE),"Check duration"))</x:f>
      </x:c>
      <x:c r="E72" s="19" t="str">
        <x:f>IF(A72="","",IF(ISNUMBER(D72),IF(D72&lt;TODAY(),"Expired",IF(D72&lt;=TODAY()+7,"Expiring Soon","Active")),"Check Duration"))</x:f>
      </x:c>
      <x:c r="F72" s="19"/>
      <x:c r="G72" s="22"/>
      <x:c r="H72" s="22"/>
      <x:c r="I72" s="19"/>
      <x:c r="J72" s="19"/>
      <x:c r="K72" s="19" t="str">
        <x:f>IF(A72="","",IF(E72="Expired","",IF(E72="Check Duration","",COUNTIFS($A$5:$A$204,"&lt;"&amp;A72,$E$5:$E$204,"&lt;&gt;Expired",$E$5:$E$204,"&lt;&gt;Check Duration")+COUNTIFS($A$5:A72,A72,$E$5:E72,"&lt;&gt;Expired",$E$5:E72,"&lt;&gt;Check Duration"))))</x:f>
      </x:c>
    </x:row>
    <x:row r="73">
      <x:c r="A73" s="21"/>
      <x:c r="B73" s="20"/>
      <x:c r="C73" s="19"/>
      <x:c r="D73" s="20" t="str">
        <x:f>IF(A73="","",IFERROR(B73+VLOOKUP(C73,Lists!$A$2:$B$101,2,FALSE),"Check duration"))</x:f>
      </x:c>
      <x:c r="E73" s="19" t="str">
        <x:f>IF(A73="","",IF(ISNUMBER(D73),IF(D73&lt;TODAY(),"Expired",IF(D73&lt;=TODAY()+7,"Expiring Soon","Active")),"Check Duration"))</x:f>
      </x:c>
      <x:c r="F73" s="19"/>
      <x:c r="G73" s="22"/>
      <x:c r="H73" s="22"/>
      <x:c r="I73" s="19"/>
      <x:c r="J73" s="19"/>
      <x:c r="K73" s="19" t="str">
        <x:f>IF(A73="","",IF(E73="Expired","",IF(E73="Check Duration","",COUNTIFS($A$5:$A$204,"&lt;"&amp;A73,$E$5:$E$204,"&lt;&gt;Expired",$E$5:$E$204,"&lt;&gt;Check Duration")+COUNTIFS($A$5:A73,A73,$E$5:E73,"&lt;&gt;Expired",$E$5:E73,"&lt;&gt;Check Duration"))))</x:f>
      </x:c>
    </x:row>
    <x:row r="74">
      <x:c r="A74" s="21"/>
      <x:c r="B74" s="20"/>
      <x:c r="C74" s="19"/>
      <x:c r="D74" s="20" t="str">
        <x:f>IF(A74="","",IFERROR(B74+VLOOKUP(C74,Lists!$A$2:$B$101,2,FALSE),"Check duration"))</x:f>
      </x:c>
      <x:c r="E74" s="19" t="str">
        <x:f>IF(A74="","",IF(ISNUMBER(D74),IF(D74&lt;TODAY(),"Expired",IF(D74&lt;=TODAY()+7,"Expiring Soon","Active")),"Check Duration"))</x:f>
      </x:c>
      <x:c r="F74" s="19"/>
      <x:c r="G74" s="22"/>
      <x:c r="H74" s="22"/>
      <x:c r="I74" s="19"/>
      <x:c r="J74" s="19"/>
      <x:c r="K74" s="19" t="str">
        <x:f>IF(A74="","",IF(E74="Expired","",IF(E74="Check Duration","",COUNTIFS($A$5:$A$204,"&lt;"&amp;A74,$E$5:$E$204,"&lt;&gt;Expired",$E$5:$E$204,"&lt;&gt;Check Duration")+COUNTIFS($A$5:A74,A74,$E$5:E74,"&lt;&gt;Expired",$E$5:E74,"&lt;&gt;Check Duration"))))</x:f>
      </x:c>
    </x:row>
    <x:row r="75">
      <x:c r="A75" s="21"/>
      <x:c r="B75" s="20"/>
      <x:c r="C75" s="19"/>
      <x:c r="D75" s="20" t="str">
        <x:f>IF(A75="","",IFERROR(B75+VLOOKUP(C75,Lists!$A$2:$B$101,2,FALSE),"Check duration"))</x:f>
      </x:c>
      <x:c r="E75" s="19" t="str">
        <x:f>IF(A75="","",IF(ISNUMBER(D75),IF(D75&lt;TODAY(),"Expired",IF(D75&lt;=TODAY()+7,"Expiring Soon","Active")),"Check Duration"))</x:f>
      </x:c>
      <x:c r="F75" s="19"/>
      <x:c r="G75" s="22"/>
      <x:c r="H75" s="22"/>
      <x:c r="I75" s="19"/>
      <x:c r="J75" s="19"/>
      <x:c r="K75" s="19" t="str">
        <x:f>IF(A75="","",IF(E75="Expired","",IF(E75="Check Duration","",COUNTIFS($A$5:$A$204,"&lt;"&amp;A75,$E$5:$E$204,"&lt;&gt;Expired",$E$5:$E$204,"&lt;&gt;Check Duration")+COUNTIFS($A$5:A75,A75,$E$5:E75,"&lt;&gt;Expired",$E$5:E75,"&lt;&gt;Check Duration"))))</x:f>
      </x:c>
    </x:row>
    <x:row r="76">
      <x:c r="A76" s="21"/>
      <x:c r="B76" s="20"/>
      <x:c r="C76" s="19"/>
      <x:c r="D76" s="20" t="str">
        <x:f>IF(A76="","",IFERROR(B76+VLOOKUP(C76,Lists!$A$2:$B$101,2,FALSE),"Check duration"))</x:f>
      </x:c>
      <x:c r="E76" s="19" t="str">
        <x:f>IF(A76="","",IF(ISNUMBER(D76),IF(D76&lt;TODAY(),"Expired",IF(D76&lt;=TODAY()+7,"Expiring Soon","Active")),"Check Duration"))</x:f>
      </x:c>
      <x:c r="F76" s="19"/>
      <x:c r="G76" s="22"/>
      <x:c r="H76" s="22"/>
      <x:c r="I76" s="19"/>
      <x:c r="J76" s="19"/>
      <x:c r="K76" s="19" t="str">
        <x:f>IF(A76="","",IF(E76="Expired","",IF(E76="Check Duration","",COUNTIFS($A$5:$A$204,"&lt;"&amp;A76,$E$5:$E$204,"&lt;&gt;Expired",$E$5:$E$204,"&lt;&gt;Check Duration")+COUNTIFS($A$5:A76,A76,$E$5:E76,"&lt;&gt;Expired",$E$5:E76,"&lt;&gt;Check Duration"))))</x:f>
      </x:c>
    </x:row>
    <x:row r="77">
      <x:c r="A77" s="21"/>
      <x:c r="B77" s="20"/>
      <x:c r="C77" s="19"/>
      <x:c r="D77" s="20" t="str">
        <x:f>IF(A77="","",IFERROR(B77+VLOOKUP(C77,Lists!$A$2:$B$101,2,FALSE),"Check duration"))</x:f>
      </x:c>
      <x:c r="E77" s="19" t="str">
        <x:f>IF(A77="","",IF(ISNUMBER(D77),IF(D77&lt;TODAY(),"Expired",IF(D77&lt;=TODAY()+7,"Expiring Soon","Active")),"Check Duration"))</x:f>
      </x:c>
      <x:c r="F77" s="19"/>
      <x:c r="G77" s="22"/>
      <x:c r="H77" s="22"/>
      <x:c r="I77" s="19"/>
      <x:c r="J77" s="19"/>
      <x:c r="K77" s="19" t="str">
        <x:f>IF(A77="","",IF(E77="Expired","",IF(E77="Check Duration","",COUNTIFS($A$5:$A$204,"&lt;"&amp;A77,$E$5:$E$204,"&lt;&gt;Expired",$E$5:$E$204,"&lt;&gt;Check Duration")+COUNTIFS($A$5:A77,A77,$E$5:E77,"&lt;&gt;Expired",$E$5:E77,"&lt;&gt;Check Duration"))))</x:f>
      </x:c>
    </x:row>
    <x:row r="78">
      <x:c r="A78" s="21"/>
      <x:c r="B78" s="20"/>
      <x:c r="C78" s="19"/>
      <x:c r="D78" s="20" t="str">
        <x:f>IF(A78="","",IFERROR(B78+VLOOKUP(C78,Lists!$A$2:$B$101,2,FALSE),"Check duration"))</x:f>
      </x:c>
      <x:c r="E78" s="19" t="str">
        <x:f>IF(A78="","",IF(ISNUMBER(D78),IF(D78&lt;TODAY(),"Expired",IF(D78&lt;=TODAY()+7,"Expiring Soon","Active")),"Check Duration"))</x:f>
      </x:c>
      <x:c r="F78" s="19"/>
      <x:c r="G78" s="22"/>
      <x:c r="H78" s="22"/>
      <x:c r="I78" s="19"/>
      <x:c r="J78" s="19"/>
      <x:c r="K78" s="19" t="str">
        <x:f>IF(A78="","",IF(E78="Expired","",IF(E78="Check Duration","",COUNTIFS($A$5:$A$204,"&lt;"&amp;A78,$E$5:$E$204,"&lt;&gt;Expired",$E$5:$E$204,"&lt;&gt;Check Duration")+COUNTIFS($A$5:A78,A78,$E$5:E78,"&lt;&gt;Expired",$E$5:E78,"&lt;&gt;Check Duration"))))</x:f>
      </x:c>
    </x:row>
    <x:row r="79">
      <x:c r="A79" s="21"/>
      <x:c r="B79" s="20"/>
      <x:c r="C79" s="19"/>
      <x:c r="D79" s="20" t="str">
        <x:f>IF(A79="","",IFERROR(B79+VLOOKUP(C79,Lists!$A$2:$B$101,2,FALSE),"Check duration"))</x:f>
      </x:c>
      <x:c r="E79" s="19" t="str">
        <x:f>IF(A79="","",IF(ISNUMBER(D79),IF(D79&lt;TODAY(),"Expired",IF(D79&lt;=TODAY()+7,"Expiring Soon","Active")),"Check Duration"))</x:f>
      </x:c>
      <x:c r="F79" s="19"/>
      <x:c r="G79" s="22"/>
      <x:c r="H79" s="22"/>
      <x:c r="I79" s="19"/>
      <x:c r="J79" s="19"/>
      <x:c r="K79" s="19" t="str">
        <x:f>IF(A79="","",IF(E79="Expired","",IF(E79="Check Duration","",COUNTIFS($A$5:$A$204,"&lt;"&amp;A79,$E$5:$E$204,"&lt;&gt;Expired",$E$5:$E$204,"&lt;&gt;Check Duration")+COUNTIFS($A$5:A79,A79,$E$5:E79,"&lt;&gt;Expired",$E$5:E79,"&lt;&gt;Check Duration"))))</x:f>
      </x:c>
    </x:row>
    <x:row r="80">
      <x:c r="A80" s="21"/>
      <x:c r="B80" s="20"/>
      <x:c r="C80" s="19"/>
      <x:c r="D80" s="20" t="str">
        <x:f>IF(A80="","",IFERROR(B80+VLOOKUP(C80,Lists!$A$2:$B$101,2,FALSE),"Check duration"))</x:f>
      </x:c>
      <x:c r="E80" s="19" t="str">
        <x:f>IF(A80="","",IF(ISNUMBER(D80),IF(D80&lt;TODAY(),"Expired",IF(D80&lt;=TODAY()+7,"Expiring Soon","Active")),"Check Duration"))</x:f>
      </x:c>
      <x:c r="F80" s="19"/>
      <x:c r="G80" s="22"/>
      <x:c r="H80" s="22"/>
      <x:c r="I80" s="19"/>
      <x:c r="J80" s="19"/>
      <x:c r="K80" s="19" t="str">
        <x:f>IF(A80="","",IF(E80="Expired","",IF(E80="Check Duration","",COUNTIFS($A$5:$A$204,"&lt;"&amp;A80,$E$5:$E$204,"&lt;&gt;Expired",$E$5:$E$204,"&lt;&gt;Check Duration")+COUNTIFS($A$5:A80,A80,$E$5:E80,"&lt;&gt;Expired",$E$5:E80,"&lt;&gt;Check Duration"))))</x:f>
      </x:c>
    </x:row>
    <x:row r="81">
      <x:c r="A81" s="21"/>
      <x:c r="B81" s="20"/>
      <x:c r="C81" s="19"/>
      <x:c r="D81" s="20" t="str">
        <x:f>IF(A81="","",IFERROR(B81+VLOOKUP(C81,Lists!$A$2:$B$101,2,FALSE),"Check duration"))</x:f>
      </x:c>
      <x:c r="E81" s="19" t="str">
        <x:f>IF(A81="","",IF(ISNUMBER(D81),IF(D81&lt;TODAY(),"Expired",IF(D81&lt;=TODAY()+7,"Expiring Soon","Active")),"Check Duration"))</x:f>
      </x:c>
      <x:c r="F81" s="19"/>
      <x:c r="G81" s="22"/>
      <x:c r="H81" s="22"/>
      <x:c r="I81" s="19"/>
      <x:c r="J81" s="19"/>
      <x:c r="K81" s="19" t="str">
        <x:f>IF(A81="","",IF(E81="Expired","",IF(E81="Check Duration","",COUNTIFS($A$5:$A$204,"&lt;"&amp;A81,$E$5:$E$204,"&lt;&gt;Expired",$E$5:$E$204,"&lt;&gt;Check Duration")+COUNTIFS($A$5:A81,A81,$E$5:E81,"&lt;&gt;Expired",$E$5:E81,"&lt;&gt;Check Duration"))))</x:f>
      </x:c>
    </x:row>
    <x:row r="82">
      <x:c r="A82" s="21"/>
      <x:c r="B82" s="20"/>
      <x:c r="C82" s="19"/>
      <x:c r="D82" s="20" t="str">
        <x:f>IF(A82="","",IFERROR(B82+VLOOKUP(C82,Lists!$A$2:$B$101,2,FALSE),"Check duration"))</x:f>
      </x:c>
      <x:c r="E82" s="19" t="str">
        <x:f>IF(A82="","",IF(ISNUMBER(D82),IF(D82&lt;TODAY(),"Expired",IF(D82&lt;=TODAY()+7,"Expiring Soon","Active")),"Check Duration"))</x:f>
      </x:c>
      <x:c r="F82" s="19"/>
      <x:c r="G82" s="22"/>
      <x:c r="H82" s="22"/>
      <x:c r="I82" s="19"/>
      <x:c r="J82" s="19"/>
      <x:c r="K82" s="19" t="str">
        <x:f>IF(A82="","",IF(E82="Expired","",IF(E82="Check Duration","",COUNTIFS($A$5:$A$204,"&lt;"&amp;A82,$E$5:$E$204,"&lt;&gt;Expired",$E$5:$E$204,"&lt;&gt;Check Duration")+COUNTIFS($A$5:A82,A82,$E$5:E82,"&lt;&gt;Expired",$E$5:E82,"&lt;&gt;Check Duration"))))</x:f>
      </x:c>
    </x:row>
    <x:row r="83">
      <x:c r="A83" s="21"/>
      <x:c r="B83" s="20"/>
      <x:c r="C83" s="19"/>
      <x:c r="D83" s="20" t="str">
        <x:f>IF(A83="","",IFERROR(B83+VLOOKUP(C83,Lists!$A$2:$B$101,2,FALSE),"Check duration"))</x:f>
      </x:c>
      <x:c r="E83" s="19" t="str">
        <x:f>IF(A83="","",IF(ISNUMBER(D83),IF(D83&lt;TODAY(),"Expired",IF(D83&lt;=TODAY()+7,"Expiring Soon","Active")),"Check Duration"))</x:f>
      </x:c>
      <x:c r="F83" s="19"/>
      <x:c r="G83" s="22"/>
      <x:c r="H83" s="22"/>
      <x:c r="I83" s="19"/>
      <x:c r="J83" s="19"/>
      <x:c r="K83" s="19" t="str">
        <x:f>IF(A83="","",IF(E83="Expired","",IF(E83="Check Duration","",COUNTIFS($A$5:$A$204,"&lt;"&amp;A83,$E$5:$E$204,"&lt;&gt;Expired",$E$5:$E$204,"&lt;&gt;Check Duration")+COUNTIFS($A$5:A83,A83,$E$5:E83,"&lt;&gt;Expired",$E$5:E83,"&lt;&gt;Check Duration"))))</x:f>
      </x:c>
    </x:row>
    <x:row r="84">
      <x:c r="A84" s="21"/>
      <x:c r="B84" s="20"/>
      <x:c r="C84" s="19"/>
      <x:c r="D84" s="20" t="str">
        <x:f>IF(A84="","",IFERROR(B84+VLOOKUP(C84,Lists!$A$2:$B$101,2,FALSE),"Check duration"))</x:f>
      </x:c>
      <x:c r="E84" s="19" t="str">
        <x:f>IF(A84="","",IF(ISNUMBER(D84),IF(D84&lt;TODAY(),"Expired",IF(D84&lt;=TODAY()+7,"Expiring Soon","Active")),"Check Duration"))</x:f>
      </x:c>
      <x:c r="F84" s="19"/>
      <x:c r="G84" s="22"/>
      <x:c r="H84" s="22"/>
      <x:c r="I84" s="19"/>
      <x:c r="J84" s="19"/>
      <x:c r="K84" s="19" t="str">
        <x:f>IF(A84="","",IF(E84="Expired","",IF(E84="Check Duration","",COUNTIFS($A$5:$A$204,"&lt;"&amp;A84,$E$5:$E$204,"&lt;&gt;Expired",$E$5:$E$204,"&lt;&gt;Check Duration")+COUNTIFS($A$5:A84,A84,$E$5:E84,"&lt;&gt;Expired",$E$5:E84,"&lt;&gt;Check Duration"))))</x:f>
      </x:c>
    </x:row>
    <x:row r="85">
      <x:c r="A85" s="21"/>
      <x:c r="B85" s="20"/>
      <x:c r="C85" s="19"/>
      <x:c r="D85" s="20" t="str">
        <x:f>IF(A85="","",IFERROR(B85+VLOOKUP(C85,Lists!$A$2:$B$101,2,FALSE),"Check duration"))</x:f>
      </x:c>
      <x:c r="E85" s="19" t="str">
        <x:f>IF(A85="","",IF(ISNUMBER(D85),IF(D85&lt;TODAY(),"Expired",IF(D85&lt;=TODAY()+7,"Expiring Soon","Active")),"Check Duration"))</x:f>
      </x:c>
      <x:c r="F85" s="19"/>
      <x:c r="G85" s="22"/>
      <x:c r="H85" s="22"/>
      <x:c r="I85" s="19"/>
      <x:c r="J85" s="19"/>
      <x:c r="K85" s="19" t="str">
        <x:f>IF(A85="","",IF(E85="Expired","",IF(E85="Check Duration","",COUNTIFS($A$5:$A$204,"&lt;"&amp;A85,$E$5:$E$204,"&lt;&gt;Expired",$E$5:$E$204,"&lt;&gt;Check Duration")+COUNTIFS($A$5:A85,A85,$E$5:E85,"&lt;&gt;Expired",$E$5:E85,"&lt;&gt;Check Duration"))))</x:f>
      </x:c>
    </x:row>
    <x:row r="86">
      <x:c r="A86" s="21"/>
      <x:c r="B86" s="20"/>
      <x:c r="C86" s="19"/>
      <x:c r="D86" s="20" t="str">
        <x:f>IF(A86="","",IFERROR(B86+VLOOKUP(C86,Lists!$A$2:$B$101,2,FALSE),"Check duration"))</x:f>
      </x:c>
      <x:c r="E86" s="19" t="str">
        <x:f>IF(A86="","",IF(ISNUMBER(D86),IF(D86&lt;TODAY(),"Expired",IF(D86&lt;=TODAY()+7,"Expiring Soon","Active")),"Check Duration"))</x:f>
      </x:c>
      <x:c r="F86" s="19"/>
      <x:c r="G86" s="22"/>
      <x:c r="H86" s="22"/>
      <x:c r="I86" s="19"/>
      <x:c r="J86" s="19"/>
      <x:c r="K86" s="19" t="str">
        <x:f>IF(A86="","",IF(E86="Expired","",IF(E86="Check Duration","",COUNTIFS($A$5:$A$204,"&lt;"&amp;A86,$E$5:$E$204,"&lt;&gt;Expired",$E$5:$E$204,"&lt;&gt;Check Duration")+COUNTIFS($A$5:A86,A86,$E$5:E86,"&lt;&gt;Expired",$E$5:E86,"&lt;&gt;Check Duration"))))</x:f>
      </x:c>
    </x:row>
    <x:row r="87">
      <x:c r="A87" s="21"/>
      <x:c r="B87" s="20"/>
      <x:c r="C87" s="19"/>
      <x:c r="D87" s="20" t="str">
        <x:f>IF(A87="","",IFERROR(B87+VLOOKUP(C87,Lists!$A$2:$B$101,2,FALSE),"Check duration"))</x:f>
      </x:c>
      <x:c r="E87" s="19" t="str">
        <x:f>IF(A87="","",IF(ISNUMBER(D87),IF(D87&lt;TODAY(),"Expired",IF(D87&lt;=TODAY()+7,"Expiring Soon","Active")),"Check Duration"))</x:f>
      </x:c>
      <x:c r="F87" s="19"/>
      <x:c r="G87" s="22"/>
      <x:c r="H87" s="22"/>
      <x:c r="I87" s="19"/>
      <x:c r="J87" s="19"/>
      <x:c r="K87" s="19" t="str">
        <x:f>IF(A87="","",IF(E87="Expired","",IF(E87="Check Duration","",COUNTIFS($A$5:$A$204,"&lt;"&amp;A87,$E$5:$E$204,"&lt;&gt;Expired",$E$5:$E$204,"&lt;&gt;Check Duration")+COUNTIFS($A$5:A87,A87,$E$5:E87,"&lt;&gt;Expired",$E$5:E87,"&lt;&gt;Check Duration"))))</x:f>
      </x:c>
    </x:row>
    <x:row r="88">
      <x:c r="A88" s="21"/>
      <x:c r="B88" s="20"/>
      <x:c r="C88" s="19"/>
      <x:c r="D88" s="20" t="str">
        <x:f>IF(A88="","",IFERROR(B88+VLOOKUP(C88,Lists!$A$2:$B$101,2,FALSE),"Check duration"))</x:f>
      </x:c>
      <x:c r="E88" s="19" t="str">
        <x:f>IF(A88="","",IF(ISNUMBER(D88),IF(D88&lt;TODAY(),"Expired",IF(D88&lt;=TODAY()+7,"Expiring Soon","Active")),"Check Duration"))</x:f>
      </x:c>
      <x:c r="F88" s="19"/>
      <x:c r="G88" s="22"/>
      <x:c r="H88" s="22"/>
      <x:c r="I88" s="19"/>
      <x:c r="J88" s="19"/>
      <x:c r="K88" s="19" t="str">
        <x:f>IF(A88="","",IF(E88="Expired","",IF(E88="Check Duration","",COUNTIFS($A$5:$A$204,"&lt;"&amp;A88,$E$5:$E$204,"&lt;&gt;Expired",$E$5:$E$204,"&lt;&gt;Check Duration")+COUNTIFS($A$5:A88,A88,$E$5:E88,"&lt;&gt;Expired",$E$5:E88,"&lt;&gt;Check Duration"))))</x:f>
      </x:c>
    </x:row>
    <x:row r="89">
      <x:c r="A89" s="21"/>
      <x:c r="B89" s="20"/>
      <x:c r="C89" s="19"/>
      <x:c r="D89" s="20" t="str">
        <x:f>IF(A89="","",IFERROR(B89+VLOOKUP(C89,Lists!$A$2:$B$101,2,FALSE),"Check duration"))</x:f>
      </x:c>
      <x:c r="E89" s="19" t="str">
        <x:f>IF(A89="","",IF(ISNUMBER(D89),IF(D89&lt;TODAY(),"Expired",IF(D89&lt;=TODAY()+7,"Expiring Soon","Active")),"Check Duration"))</x:f>
      </x:c>
      <x:c r="F89" s="19"/>
      <x:c r="G89" s="22"/>
      <x:c r="H89" s="22"/>
      <x:c r="I89" s="19"/>
      <x:c r="J89" s="19"/>
      <x:c r="K89" s="19" t="str">
        <x:f>IF(A89="","",IF(E89="Expired","",IF(E89="Check Duration","",COUNTIFS($A$5:$A$204,"&lt;"&amp;A89,$E$5:$E$204,"&lt;&gt;Expired",$E$5:$E$204,"&lt;&gt;Check Duration")+COUNTIFS($A$5:A89,A89,$E$5:E89,"&lt;&gt;Expired",$E$5:E89,"&lt;&gt;Check Duration"))))</x:f>
      </x:c>
    </x:row>
    <x:row r="90">
      <x:c r="A90" s="21"/>
      <x:c r="B90" s="20"/>
      <x:c r="C90" s="19"/>
      <x:c r="D90" s="20" t="str">
        <x:f>IF(A90="","",IFERROR(B90+VLOOKUP(C90,Lists!$A$2:$B$101,2,FALSE),"Check duration"))</x:f>
      </x:c>
      <x:c r="E90" s="19" t="str">
        <x:f>IF(A90="","",IF(ISNUMBER(D90),IF(D90&lt;TODAY(),"Expired",IF(D90&lt;=TODAY()+7,"Expiring Soon","Active")),"Check Duration"))</x:f>
      </x:c>
      <x:c r="F90" s="19"/>
      <x:c r="G90" s="22"/>
      <x:c r="H90" s="22"/>
      <x:c r="I90" s="19"/>
      <x:c r="J90" s="19"/>
      <x:c r="K90" s="19" t="str">
        <x:f>IF(A90="","",IF(E90="Expired","",IF(E90="Check Duration","",COUNTIFS($A$5:$A$204,"&lt;"&amp;A90,$E$5:$E$204,"&lt;&gt;Expired",$E$5:$E$204,"&lt;&gt;Check Duration")+COUNTIFS($A$5:A90,A90,$E$5:E90,"&lt;&gt;Expired",$E$5:E90,"&lt;&gt;Check Duration"))))</x:f>
      </x:c>
    </x:row>
    <x:row r="91">
      <x:c r="A91" s="21"/>
      <x:c r="B91" s="20"/>
      <x:c r="C91" s="19"/>
      <x:c r="D91" s="20" t="str">
        <x:f>IF(A91="","",IFERROR(B91+VLOOKUP(C91,Lists!$A$2:$B$101,2,FALSE),"Check duration"))</x:f>
      </x:c>
      <x:c r="E91" s="19" t="str">
        <x:f>IF(A91="","",IF(ISNUMBER(D91),IF(D91&lt;TODAY(),"Expired",IF(D91&lt;=TODAY()+7,"Expiring Soon","Active")),"Check Duration"))</x:f>
      </x:c>
      <x:c r="F91" s="19"/>
      <x:c r="G91" s="22"/>
      <x:c r="H91" s="22"/>
      <x:c r="I91" s="19"/>
      <x:c r="J91" s="19"/>
      <x:c r="K91" s="19" t="str">
        <x:f>IF(A91="","",IF(E91="Expired","",IF(E91="Check Duration","",COUNTIFS($A$5:$A$204,"&lt;"&amp;A91,$E$5:$E$204,"&lt;&gt;Expired",$E$5:$E$204,"&lt;&gt;Check Duration")+COUNTIFS($A$5:A91,A91,$E$5:E91,"&lt;&gt;Expired",$E$5:E91,"&lt;&gt;Check Duration"))))</x:f>
      </x:c>
    </x:row>
    <x:row r="92">
      <x:c r="A92" s="21"/>
      <x:c r="B92" s="20"/>
      <x:c r="C92" s="19"/>
      <x:c r="D92" s="20" t="str">
        <x:f>IF(A92="","",IFERROR(B92+VLOOKUP(C92,Lists!$A$2:$B$101,2,FALSE),"Check duration"))</x:f>
      </x:c>
      <x:c r="E92" s="19" t="str">
        <x:f>IF(A92="","",IF(ISNUMBER(D92),IF(D92&lt;TODAY(),"Expired",IF(D92&lt;=TODAY()+7,"Expiring Soon","Active")),"Check Duration"))</x:f>
      </x:c>
      <x:c r="F92" s="19"/>
      <x:c r="G92" s="22"/>
      <x:c r="H92" s="22"/>
      <x:c r="I92" s="19"/>
      <x:c r="J92" s="19"/>
      <x:c r="K92" s="19" t="str">
        <x:f>IF(A92="","",IF(E92="Expired","",IF(E92="Check Duration","",COUNTIFS($A$5:$A$204,"&lt;"&amp;A92,$E$5:$E$204,"&lt;&gt;Expired",$E$5:$E$204,"&lt;&gt;Check Duration")+COUNTIFS($A$5:A92,A92,$E$5:E92,"&lt;&gt;Expired",$E$5:E92,"&lt;&gt;Check Duration"))))</x:f>
      </x:c>
    </x:row>
    <x:row r="93">
      <x:c r="A93" s="21"/>
      <x:c r="B93" s="20"/>
      <x:c r="C93" s="19"/>
      <x:c r="D93" s="20" t="str">
        <x:f>IF(A93="","",IFERROR(B93+VLOOKUP(C93,Lists!$A$2:$B$101,2,FALSE),"Check duration"))</x:f>
      </x:c>
      <x:c r="E93" s="19" t="str">
        <x:f>IF(A93="","",IF(ISNUMBER(D93),IF(D93&lt;TODAY(),"Expired",IF(D93&lt;=TODAY()+7,"Expiring Soon","Active")),"Check Duration"))</x:f>
      </x:c>
      <x:c r="F93" s="19"/>
      <x:c r="G93" s="22"/>
      <x:c r="H93" s="22"/>
      <x:c r="I93" s="19"/>
      <x:c r="J93" s="19"/>
      <x:c r="K93" s="19" t="str">
        <x:f>IF(A93="","",IF(E93="Expired","",IF(E93="Check Duration","",COUNTIFS($A$5:$A$204,"&lt;"&amp;A93,$E$5:$E$204,"&lt;&gt;Expired",$E$5:$E$204,"&lt;&gt;Check Duration")+COUNTIFS($A$5:A93,A93,$E$5:E93,"&lt;&gt;Expired",$E$5:E93,"&lt;&gt;Check Duration"))))</x:f>
      </x:c>
    </x:row>
    <x:row r="94">
      <x:c r="A94" s="21"/>
      <x:c r="B94" s="20"/>
      <x:c r="C94" s="19"/>
      <x:c r="D94" s="20" t="str">
        <x:f>IF(A94="","",IFERROR(B94+VLOOKUP(C94,Lists!$A$2:$B$101,2,FALSE),"Check duration"))</x:f>
      </x:c>
      <x:c r="E94" s="19" t="str">
        <x:f>IF(A94="","",IF(ISNUMBER(D94),IF(D94&lt;TODAY(),"Expired",IF(D94&lt;=TODAY()+7,"Expiring Soon","Active")),"Check Duration"))</x:f>
      </x:c>
      <x:c r="F94" s="19"/>
      <x:c r="G94" s="22"/>
      <x:c r="H94" s="22"/>
      <x:c r="I94" s="19"/>
      <x:c r="J94" s="19"/>
      <x:c r="K94" s="19" t="str">
        <x:f>IF(A94="","",IF(E94="Expired","",IF(E94="Check Duration","",COUNTIFS($A$5:$A$204,"&lt;"&amp;A94,$E$5:$E$204,"&lt;&gt;Expired",$E$5:$E$204,"&lt;&gt;Check Duration")+COUNTIFS($A$5:A94,A94,$E$5:E94,"&lt;&gt;Expired",$E$5:E94,"&lt;&gt;Check Duration"))))</x:f>
      </x:c>
    </x:row>
    <x:row r="95">
      <x:c r="A95" s="21"/>
      <x:c r="B95" s="20"/>
      <x:c r="C95" s="19"/>
      <x:c r="D95" s="20" t="str">
        <x:f>IF(A95="","",IFERROR(B95+VLOOKUP(C95,Lists!$A$2:$B$101,2,FALSE),"Check duration"))</x:f>
      </x:c>
      <x:c r="E95" s="19" t="str">
        <x:f>IF(A95="","",IF(ISNUMBER(D95),IF(D95&lt;TODAY(),"Expired",IF(D95&lt;=TODAY()+7,"Expiring Soon","Active")),"Check Duration"))</x:f>
      </x:c>
      <x:c r="F95" s="19"/>
      <x:c r="G95" s="22"/>
      <x:c r="H95" s="22"/>
      <x:c r="I95" s="19"/>
      <x:c r="J95" s="19"/>
      <x:c r="K95" s="19" t="str">
        <x:f>IF(A95="","",IF(E95="Expired","",IF(E95="Check Duration","",COUNTIFS($A$5:$A$204,"&lt;"&amp;A95,$E$5:$E$204,"&lt;&gt;Expired",$E$5:$E$204,"&lt;&gt;Check Duration")+COUNTIFS($A$5:A95,A95,$E$5:E95,"&lt;&gt;Expired",$E$5:E95,"&lt;&gt;Check Duration"))))</x:f>
      </x:c>
    </x:row>
    <x:row r="96">
      <x:c r="A96" s="21"/>
      <x:c r="B96" s="20"/>
      <x:c r="C96" s="19"/>
      <x:c r="D96" s="20" t="str">
        <x:f>IF(A96="","",IFERROR(B96+VLOOKUP(C96,Lists!$A$2:$B$101,2,FALSE),"Check duration"))</x:f>
      </x:c>
      <x:c r="E96" s="19" t="str">
        <x:f>IF(A96="","",IF(ISNUMBER(D96),IF(D96&lt;TODAY(),"Expired",IF(D96&lt;=TODAY()+7,"Expiring Soon","Active")),"Check Duration"))</x:f>
      </x:c>
      <x:c r="F96" s="19"/>
      <x:c r="G96" s="22"/>
      <x:c r="H96" s="22"/>
      <x:c r="I96" s="19"/>
      <x:c r="J96" s="19"/>
      <x:c r="K96" s="19" t="str">
        <x:f>IF(A96="","",IF(E96="Expired","",IF(E96="Check Duration","",COUNTIFS($A$5:$A$204,"&lt;"&amp;A96,$E$5:$E$204,"&lt;&gt;Expired",$E$5:$E$204,"&lt;&gt;Check Duration")+COUNTIFS($A$5:A96,A96,$E$5:E96,"&lt;&gt;Expired",$E$5:E96,"&lt;&gt;Check Duration"))))</x:f>
      </x:c>
    </x:row>
    <x:row r="97">
      <x:c r="A97" s="21"/>
      <x:c r="B97" s="20"/>
      <x:c r="C97" s="19"/>
      <x:c r="D97" s="20" t="str">
        <x:f>IF(A97="","",IFERROR(B97+VLOOKUP(C97,Lists!$A$2:$B$101,2,FALSE),"Check duration"))</x:f>
      </x:c>
      <x:c r="E97" s="19" t="str">
        <x:f>IF(A97="","",IF(ISNUMBER(D97),IF(D97&lt;TODAY(),"Expired",IF(D97&lt;=TODAY()+7,"Expiring Soon","Active")),"Check Duration"))</x:f>
      </x:c>
      <x:c r="F97" s="19"/>
      <x:c r="G97" s="22"/>
      <x:c r="H97" s="22"/>
      <x:c r="I97" s="19"/>
      <x:c r="J97" s="19"/>
      <x:c r="K97" s="19" t="str">
        <x:f>IF(A97="","",IF(E97="Expired","",IF(E97="Check Duration","",COUNTIFS($A$5:$A$204,"&lt;"&amp;A97,$E$5:$E$204,"&lt;&gt;Expired",$E$5:$E$204,"&lt;&gt;Check Duration")+COUNTIFS($A$5:A97,A97,$E$5:E97,"&lt;&gt;Expired",$E$5:E97,"&lt;&gt;Check Duration"))))</x:f>
      </x:c>
    </x:row>
    <x:row r="98">
      <x:c r="A98" s="21"/>
      <x:c r="B98" s="20"/>
      <x:c r="C98" s="19"/>
      <x:c r="D98" s="20" t="str">
        <x:f>IF(A98="","",IFERROR(B98+VLOOKUP(C98,Lists!$A$2:$B$101,2,FALSE),"Check duration"))</x:f>
      </x:c>
      <x:c r="E98" s="19" t="str">
        <x:f>IF(A98="","",IF(ISNUMBER(D98),IF(D98&lt;TODAY(),"Expired",IF(D98&lt;=TODAY()+7,"Expiring Soon","Active")),"Check Duration"))</x:f>
      </x:c>
      <x:c r="F98" s="19"/>
      <x:c r="G98" s="22"/>
      <x:c r="H98" s="22"/>
      <x:c r="I98" s="19"/>
      <x:c r="J98" s="19"/>
      <x:c r="K98" s="19" t="str">
        <x:f>IF(A98="","",IF(E98="Expired","",IF(E98="Check Duration","",COUNTIFS($A$5:$A$204,"&lt;"&amp;A98,$E$5:$E$204,"&lt;&gt;Expired",$E$5:$E$204,"&lt;&gt;Check Duration")+COUNTIFS($A$5:A98,A98,$E$5:E98,"&lt;&gt;Expired",$E$5:E98,"&lt;&gt;Check Duration"))))</x:f>
      </x:c>
    </x:row>
    <x:row r="99">
      <x:c r="A99" s="21"/>
      <x:c r="B99" s="20"/>
      <x:c r="C99" s="19"/>
      <x:c r="D99" s="20" t="str">
        <x:f>IF(A99="","",IFERROR(B99+VLOOKUP(C99,Lists!$A$2:$B$101,2,FALSE),"Check duration"))</x:f>
      </x:c>
      <x:c r="E99" s="19" t="str">
        <x:f>IF(A99="","",IF(ISNUMBER(D99),IF(D99&lt;TODAY(),"Expired",IF(D99&lt;=TODAY()+7,"Expiring Soon","Active")),"Check Duration"))</x:f>
      </x:c>
      <x:c r="F99" s="19"/>
      <x:c r="G99" s="22"/>
      <x:c r="H99" s="22"/>
      <x:c r="I99" s="19"/>
      <x:c r="J99" s="19"/>
      <x:c r="K99" s="19" t="str">
        <x:f>IF(A99="","",IF(E99="Expired","",IF(E99="Check Duration","",COUNTIFS($A$5:$A$204,"&lt;"&amp;A99,$E$5:$E$204,"&lt;&gt;Expired",$E$5:$E$204,"&lt;&gt;Check Duration")+COUNTIFS($A$5:A99,A99,$E$5:E99,"&lt;&gt;Expired",$E$5:E99,"&lt;&gt;Check Duration"))))</x:f>
      </x:c>
    </x:row>
    <x:row r="100">
      <x:c r="A100" s="21"/>
      <x:c r="B100" s="20"/>
      <x:c r="C100" s="19"/>
      <x:c r="D100" s="20" t="str">
        <x:f>IF(A100="","",IFERROR(B100+VLOOKUP(C100,Lists!$A$2:$B$101,2,FALSE),"Check duration"))</x:f>
      </x:c>
      <x:c r="E100" s="19" t="str">
        <x:f>IF(A100="","",IF(ISNUMBER(D100),IF(D100&lt;TODAY(),"Expired",IF(D100&lt;=TODAY()+7,"Expiring Soon","Active")),"Check Duration"))</x:f>
      </x:c>
      <x:c r="F100" s="19"/>
      <x:c r="G100" s="22"/>
      <x:c r="H100" s="22"/>
      <x:c r="I100" s="19"/>
      <x:c r="J100" s="19"/>
      <x:c r="K100" s="19" t="str">
        <x:f>IF(A100="","",IF(E100="Expired","",IF(E100="Check Duration","",COUNTIFS($A$5:$A$204,"&lt;"&amp;A100,$E$5:$E$204,"&lt;&gt;Expired",$E$5:$E$204,"&lt;&gt;Check Duration")+COUNTIFS($A$5:A100,A100,$E$5:E100,"&lt;&gt;Expired",$E$5:E100,"&lt;&gt;Check Duration"))))</x:f>
      </x:c>
    </x:row>
    <x:row r="101">
      <x:c r="A101" s="21"/>
      <x:c r="B101" s="20"/>
      <x:c r="C101" s="19"/>
      <x:c r="D101" s="20" t="str">
        <x:f>IF(A101="","",IFERROR(B101+VLOOKUP(C101,Lists!$A$2:$B$101,2,FALSE),"Check duration"))</x:f>
      </x:c>
      <x:c r="E101" s="19" t="str">
        <x:f>IF(A101="","",IF(ISNUMBER(D101),IF(D101&lt;TODAY(),"Expired",IF(D101&lt;=TODAY()+7,"Expiring Soon","Active")),"Check Duration"))</x:f>
      </x:c>
      <x:c r="F101" s="19"/>
      <x:c r="G101" s="22"/>
      <x:c r="H101" s="22"/>
      <x:c r="I101" s="19"/>
      <x:c r="J101" s="19"/>
      <x:c r="K101" s="19" t="str">
        <x:f>IF(A101="","",IF(E101="Expired","",IF(E101="Check Duration","",COUNTIFS($A$5:$A$204,"&lt;"&amp;A101,$E$5:$E$204,"&lt;&gt;Expired",$E$5:$E$204,"&lt;&gt;Check Duration")+COUNTIFS($A$5:A101,A101,$E$5:E101,"&lt;&gt;Expired",$E$5:E101,"&lt;&gt;Check Duration"))))</x:f>
      </x:c>
    </x:row>
    <x:row r="102">
      <x:c r="A102" s="21"/>
      <x:c r="B102" s="20"/>
      <x:c r="C102" s="19"/>
      <x:c r="D102" s="20" t="str">
        <x:f>IF(A102="","",IFERROR(B102+VLOOKUP(C102,Lists!$A$2:$B$101,2,FALSE),"Check duration"))</x:f>
      </x:c>
      <x:c r="E102" s="19" t="str">
        <x:f>IF(A102="","",IF(ISNUMBER(D102),IF(D102&lt;TODAY(),"Expired",IF(D102&lt;=TODAY()+7,"Expiring Soon","Active")),"Check Duration"))</x:f>
      </x:c>
      <x:c r="F102" s="19"/>
      <x:c r="G102" s="22"/>
      <x:c r="H102" s="22"/>
      <x:c r="I102" s="19"/>
      <x:c r="J102" s="19"/>
      <x:c r="K102" s="19" t="str">
        <x:f>IF(A102="","",IF(E102="Expired","",IF(E102="Check Duration","",COUNTIFS($A$5:$A$204,"&lt;"&amp;A102,$E$5:$E$204,"&lt;&gt;Expired",$E$5:$E$204,"&lt;&gt;Check Duration")+COUNTIFS($A$5:A102,A102,$E$5:E102,"&lt;&gt;Expired",$E$5:E102,"&lt;&gt;Check Duration"))))</x:f>
      </x:c>
    </x:row>
    <x:row r="103">
      <x:c r="A103" s="21"/>
      <x:c r="B103" s="20"/>
      <x:c r="C103" s="19"/>
      <x:c r="D103" s="20" t="str">
        <x:f>IF(A103="","",IFERROR(B103+VLOOKUP(C103,Lists!$A$2:$B$101,2,FALSE),"Check duration"))</x:f>
      </x:c>
      <x:c r="E103" s="19" t="str">
        <x:f>IF(A103="","",IF(ISNUMBER(D103),IF(D103&lt;TODAY(),"Expired",IF(D103&lt;=TODAY()+7,"Expiring Soon","Active")),"Check Duration"))</x:f>
      </x:c>
      <x:c r="F103" s="19"/>
      <x:c r="G103" s="22"/>
      <x:c r="H103" s="22"/>
      <x:c r="I103" s="19"/>
      <x:c r="J103" s="19"/>
      <x:c r="K103" s="19" t="str">
        <x:f>IF(A103="","",IF(E103="Expired","",IF(E103="Check Duration","",COUNTIFS($A$5:$A$204,"&lt;"&amp;A103,$E$5:$E$204,"&lt;&gt;Expired",$E$5:$E$204,"&lt;&gt;Check Duration")+COUNTIFS($A$5:A103,A103,$E$5:E103,"&lt;&gt;Expired",$E$5:E103,"&lt;&gt;Check Duration"))))</x:f>
      </x:c>
    </x:row>
    <x:row r="104">
      <x:c r="A104" s="21"/>
      <x:c r="B104" s="20"/>
      <x:c r="C104" s="19"/>
      <x:c r="D104" s="20" t="str">
        <x:f>IF(A104="","",IFERROR(B104+VLOOKUP(C104,Lists!$A$2:$B$101,2,FALSE),"Check duration"))</x:f>
      </x:c>
      <x:c r="E104" s="19" t="str">
        <x:f>IF(A104="","",IF(ISNUMBER(D104),IF(D104&lt;TODAY(),"Expired",IF(D104&lt;=TODAY()+7,"Expiring Soon","Active")),"Check Duration"))</x:f>
      </x:c>
      <x:c r="F104" s="19"/>
      <x:c r="G104" s="22"/>
      <x:c r="H104" s="22"/>
      <x:c r="I104" s="19"/>
      <x:c r="J104" s="19"/>
      <x:c r="K104" s="19" t="str">
        <x:f>IF(A104="","",IF(E104="Expired","",IF(E104="Check Duration","",COUNTIFS($A$5:$A$204,"&lt;"&amp;A104,$E$5:$E$204,"&lt;&gt;Expired",$E$5:$E$204,"&lt;&gt;Check Duration")+COUNTIFS($A$5:A104,A104,$E$5:E104,"&lt;&gt;Expired",$E$5:E104,"&lt;&gt;Check Duration"))))</x:f>
      </x:c>
    </x:row>
    <x:row r="105">
      <x:c r="A105" s="21"/>
      <x:c r="B105" s="20"/>
      <x:c r="C105" s="19"/>
      <x:c r="D105" s="20" t="str">
        <x:f>IF(A105="","",IFERROR(B105+VLOOKUP(C105,Lists!$A$2:$B$101,2,FALSE),"Check duration"))</x:f>
      </x:c>
      <x:c r="E105" s="19" t="str">
        <x:f>IF(A105="","",IF(ISNUMBER(D105),IF(D105&lt;TODAY(),"Expired",IF(D105&lt;=TODAY()+7,"Expiring Soon","Active")),"Check Duration"))</x:f>
      </x:c>
      <x:c r="F105" s="19"/>
      <x:c r="G105" s="22"/>
      <x:c r="H105" s="22"/>
      <x:c r="I105" s="19"/>
      <x:c r="J105" s="19"/>
      <x:c r="K105" s="19" t="str">
        <x:f>IF(A105="","",IF(E105="Expired","",IF(E105="Check Duration","",COUNTIFS($A$5:$A$204,"&lt;"&amp;A105,$E$5:$E$204,"&lt;&gt;Expired",$E$5:$E$204,"&lt;&gt;Check Duration")+COUNTIFS($A$5:A105,A105,$E$5:E105,"&lt;&gt;Expired",$E$5:E105,"&lt;&gt;Check Duration"))))</x:f>
      </x:c>
    </x:row>
    <x:row r="106">
      <x:c r="A106" s="21"/>
      <x:c r="B106" s="20"/>
      <x:c r="C106" s="19"/>
      <x:c r="D106" s="20" t="str">
        <x:f>IF(A106="","",IFERROR(B106+VLOOKUP(C106,Lists!$A$2:$B$101,2,FALSE),"Check duration"))</x:f>
      </x:c>
      <x:c r="E106" s="19" t="str">
        <x:f>IF(A106="","",IF(ISNUMBER(D106),IF(D106&lt;TODAY(),"Expired",IF(D106&lt;=TODAY()+7,"Expiring Soon","Active")),"Check Duration"))</x:f>
      </x:c>
      <x:c r="F106" s="19"/>
      <x:c r="G106" s="22"/>
      <x:c r="H106" s="22"/>
      <x:c r="I106" s="19"/>
      <x:c r="J106" s="19"/>
      <x:c r="K106" s="19" t="str">
        <x:f>IF(A106="","",IF(E106="Expired","",IF(E106="Check Duration","",COUNTIFS($A$5:$A$204,"&lt;"&amp;A106,$E$5:$E$204,"&lt;&gt;Expired",$E$5:$E$204,"&lt;&gt;Check Duration")+COUNTIFS($A$5:A106,A106,$E$5:E106,"&lt;&gt;Expired",$E$5:E106,"&lt;&gt;Check Duration"))))</x:f>
      </x:c>
    </x:row>
    <x:row r="107">
      <x:c r="A107" s="21"/>
      <x:c r="B107" s="20"/>
      <x:c r="C107" s="19"/>
      <x:c r="D107" s="20" t="str">
        <x:f>IF(A107="","",IFERROR(B107+VLOOKUP(C107,Lists!$A$2:$B$101,2,FALSE),"Check duration"))</x:f>
      </x:c>
      <x:c r="E107" s="19" t="str">
        <x:f>IF(A107="","",IF(ISNUMBER(D107),IF(D107&lt;TODAY(),"Expired",IF(D107&lt;=TODAY()+7,"Expiring Soon","Active")),"Check Duration"))</x:f>
      </x:c>
      <x:c r="F107" s="19"/>
      <x:c r="G107" s="22"/>
      <x:c r="H107" s="22"/>
      <x:c r="I107" s="19"/>
      <x:c r="J107" s="19"/>
      <x:c r="K107" s="19" t="str">
        <x:f>IF(A107="","",IF(E107="Expired","",IF(E107="Check Duration","",COUNTIFS($A$5:$A$204,"&lt;"&amp;A107,$E$5:$E$204,"&lt;&gt;Expired",$E$5:$E$204,"&lt;&gt;Check Duration")+COUNTIFS($A$5:A107,A107,$E$5:E107,"&lt;&gt;Expired",$E$5:E107,"&lt;&gt;Check Duration"))))</x:f>
      </x:c>
    </x:row>
    <x:row r="108">
      <x:c r="A108" s="21"/>
      <x:c r="B108" s="20"/>
      <x:c r="C108" s="19"/>
      <x:c r="D108" s="20" t="str">
        <x:f>IF(A108="","",IFERROR(B108+VLOOKUP(C108,Lists!$A$2:$B$101,2,FALSE),"Check duration"))</x:f>
      </x:c>
      <x:c r="E108" s="19" t="str">
        <x:f>IF(A108="","",IF(ISNUMBER(D108),IF(D108&lt;TODAY(),"Expired",IF(D108&lt;=TODAY()+7,"Expiring Soon","Active")),"Check Duration"))</x:f>
      </x:c>
      <x:c r="F108" s="19"/>
      <x:c r="G108" s="22"/>
      <x:c r="H108" s="22"/>
      <x:c r="I108" s="19"/>
      <x:c r="J108" s="19"/>
      <x:c r="K108" s="19" t="str">
        <x:f>IF(A108="","",IF(E108="Expired","",IF(E108="Check Duration","",COUNTIFS($A$5:$A$204,"&lt;"&amp;A108,$E$5:$E$204,"&lt;&gt;Expired",$E$5:$E$204,"&lt;&gt;Check Duration")+COUNTIFS($A$5:A108,A108,$E$5:E108,"&lt;&gt;Expired",$E$5:E108,"&lt;&gt;Check Duration"))))</x:f>
      </x:c>
    </x:row>
    <x:row r="109">
      <x:c r="A109" s="21"/>
      <x:c r="B109" s="20"/>
      <x:c r="C109" s="19"/>
      <x:c r="D109" s="20" t="str">
        <x:f>IF(A109="","",IFERROR(B109+VLOOKUP(C109,Lists!$A$2:$B$101,2,FALSE),"Check duration"))</x:f>
      </x:c>
      <x:c r="E109" s="19" t="str">
        <x:f>IF(A109="","",IF(ISNUMBER(D109),IF(D109&lt;TODAY(),"Expired",IF(D109&lt;=TODAY()+7,"Expiring Soon","Active")),"Check Duration"))</x:f>
      </x:c>
      <x:c r="F109" s="19"/>
      <x:c r="G109" s="22"/>
      <x:c r="H109" s="22"/>
      <x:c r="I109" s="19"/>
      <x:c r="J109" s="19"/>
      <x:c r="K109" s="19" t="str">
        <x:f>IF(A109="","",IF(E109="Expired","",IF(E109="Check Duration","",COUNTIFS($A$5:$A$204,"&lt;"&amp;A109,$E$5:$E$204,"&lt;&gt;Expired",$E$5:$E$204,"&lt;&gt;Check Duration")+COUNTIFS($A$5:A109,A109,$E$5:E109,"&lt;&gt;Expired",$E$5:E109,"&lt;&gt;Check Duration"))))</x:f>
      </x:c>
    </x:row>
    <x:row r="110">
      <x:c r="A110" s="21"/>
      <x:c r="B110" s="20"/>
      <x:c r="C110" s="19"/>
      <x:c r="D110" s="20" t="str">
        <x:f>IF(A110="","",IFERROR(B110+VLOOKUP(C110,Lists!$A$2:$B$101,2,FALSE),"Check duration"))</x:f>
      </x:c>
      <x:c r="E110" s="19" t="str">
        <x:f>IF(A110="","",IF(ISNUMBER(D110),IF(D110&lt;TODAY(),"Expired",IF(D110&lt;=TODAY()+7,"Expiring Soon","Active")),"Check Duration"))</x:f>
      </x:c>
      <x:c r="F110" s="19"/>
      <x:c r="G110" s="22"/>
      <x:c r="H110" s="22"/>
      <x:c r="I110" s="19"/>
      <x:c r="J110" s="19"/>
      <x:c r="K110" s="19" t="str">
        <x:f>IF(A110="","",IF(E110="Expired","",IF(E110="Check Duration","",COUNTIFS($A$5:$A$204,"&lt;"&amp;A110,$E$5:$E$204,"&lt;&gt;Expired",$E$5:$E$204,"&lt;&gt;Check Duration")+COUNTIFS($A$5:A110,A110,$E$5:E110,"&lt;&gt;Expired",$E$5:E110,"&lt;&gt;Check Duration"))))</x:f>
      </x:c>
    </x:row>
    <x:row r="111">
      <x:c r="A111" s="21"/>
      <x:c r="B111" s="20"/>
      <x:c r="C111" s="19"/>
      <x:c r="D111" s="20" t="str">
        <x:f>IF(A111="","",IFERROR(B111+VLOOKUP(C111,Lists!$A$2:$B$101,2,FALSE),"Check duration"))</x:f>
      </x:c>
      <x:c r="E111" s="19" t="str">
        <x:f>IF(A111="","",IF(ISNUMBER(D111),IF(D111&lt;TODAY(),"Expired",IF(D111&lt;=TODAY()+7,"Expiring Soon","Active")),"Check Duration"))</x:f>
      </x:c>
      <x:c r="F111" s="19"/>
      <x:c r="G111" s="22"/>
      <x:c r="H111" s="22"/>
      <x:c r="I111" s="19"/>
      <x:c r="J111" s="19"/>
      <x:c r="K111" s="19" t="str">
        <x:f>IF(A111="","",IF(E111="Expired","",IF(E111="Check Duration","",COUNTIFS($A$5:$A$204,"&lt;"&amp;A111,$E$5:$E$204,"&lt;&gt;Expired",$E$5:$E$204,"&lt;&gt;Check Duration")+COUNTIFS($A$5:A111,A111,$E$5:E111,"&lt;&gt;Expired",$E$5:E111,"&lt;&gt;Check Duration"))))</x:f>
      </x:c>
    </x:row>
    <x:row r="112">
      <x:c r="A112" s="21"/>
      <x:c r="B112" s="20"/>
      <x:c r="C112" s="19"/>
      <x:c r="D112" s="20" t="str">
        <x:f>IF(A112="","",IFERROR(B112+VLOOKUP(C112,Lists!$A$2:$B$101,2,FALSE),"Check duration"))</x:f>
      </x:c>
      <x:c r="E112" s="19" t="str">
        <x:f>IF(A112="","",IF(ISNUMBER(D112),IF(D112&lt;TODAY(),"Expired",IF(D112&lt;=TODAY()+7,"Expiring Soon","Active")),"Check Duration"))</x:f>
      </x:c>
      <x:c r="F112" s="19"/>
      <x:c r="G112" s="22"/>
      <x:c r="H112" s="22"/>
      <x:c r="I112" s="19"/>
      <x:c r="J112" s="19"/>
      <x:c r="K112" s="19" t="str">
        <x:f>IF(A112="","",IF(E112="Expired","",IF(E112="Check Duration","",COUNTIFS($A$5:$A$204,"&lt;"&amp;A112,$E$5:$E$204,"&lt;&gt;Expired",$E$5:$E$204,"&lt;&gt;Check Duration")+COUNTIFS($A$5:A112,A112,$E$5:E112,"&lt;&gt;Expired",$E$5:E112,"&lt;&gt;Check Duration"))))</x:f>
      </x:c>
    </x:row>
    <x:row r="113">
      <x:c r="A113" s="21"/>
      <x:c r="B113" s="20"/>
      <x:c r="C113" s="19"/>
      <x:c r="D113" s="20" t="str">
        <x:f>IF(A113="","",IFERROR(B113+VLOOKUP(C113,Lists!$A$2:$B$101,2,FALSE),"Check duration"))</x:f>
      </x:c>
      <x:c r="E113" s="19" t="str">
        <x:f>IF(A113="","",IF(ISNUMBER(D113),IF(D113&lt;TODAY(),"Expired",IF(D113&lt;=TODAY()+7,"Expiring Soon","Active")),"Check Duration"))</x:f>
      </x:c>
      <x:c r="F113" s="19"/>
      <x:c r="G113" s="22"/>
      <x:c r="H113" s="22"/>
      <x:c r="I113" s="19"/>
      <x:c r="J113" s="19"/>
      <x:c r="K113" s="19" t="str">
        <x:f>IF(A113="","",IF(E113="Expired","",IF(E113="Check Duration","",COUNTIFS($A$5:$A$204,"&lt;"&amp;A113,$E$5:$E$204,"&lt;&gt;Expired",$E$5:$E$204,"&lt;&gt;Check Duration")+COUNTIFS($A$5:A113,A113,$E$5:E113,"&lt;&gt;Expired",$E$5:E113,"&lt;&gt;Check Duration"))))</x:f>
      </x:c>
    </x:row>
    <x:row r="114">
      <x:c r="A114" s="21"/>
      <x:c r="B114" s="20"/>
      <x:c r="C114" s="19"/>
      <x:c r="D114" s="20" t="str">
        <x:f>IF(A114="","",IFERROR(B114+VLOOKUP(C114,Lists!$A$2:$B$101,2,FALSE),"Check duration"))</x:f>
      </x:c>
      <x:c r="E114" s="19" t="str">
        <x:f>IF(A114="","",IF(ISNUMBER(D114),IF(D114&lt;TODAY(),"Expired",IF(D114&lt;=TODAY()+7,"Expiring Soon","Active")),"Check Duration"))</x:f>
      </x:c>
      <x:c r="F114" s="19"/>
      <x:c r="G114" s="22"/>
      <x:c r="H114" s="22"/>
      <x:c r="I114" s="19"/>
      <x:c r="J114" s="19"/>
      <x:c r="K114" s="19" t="str">
        <x:f>IF(A114="","",IF(E114="Expired","",IF(E114="Check Duration","",COUNTIFS($A$5:$A$204,"&lt;"&amp;A114,$E$5:$E$204,"&lt;&gt;Expired",$E$5:$E$204,"&lt;&gt;Check Duration")+COUNTIFS($A$5:A114,A114,$E$5:E114,"&lt;&gt;Expired",$E$5:E114,"&lt;&gt;Check Duration"))))</x:f>
      </x:c>
    </x:row>
    <x:row r="115">
      <x:c r="A115" s="21"/>
      <x:c r="B115" s="20"/>
      <x:c r="C115" s="19"/>
      <x:c r="D115" s="20" t="str">
        <x:f>IF(A115="","",IFERROR(B115+VLOOKUP(C115,Lists!$A$2:$B$101,2,FALSE),"Check duration"))</x:f>
      </x:c>
      <x:c r="E115" s="19" t="str">
        <x:f>IF(A115="","",IF(ISNUMBER(D115),IF(D115&lt;TODAY(),"Expired",IF(D115&lt;=TODAY()+7,"Expiring Soon","Active")),"Check Duration"))</x:f>
      </x:c>
      <x:c r="F115" s="19"/>
      <x:c r="G115" s="22"/>
      <x:c r="H115" s="22"/>
      <x:c r="I115" s="19"/>
      <x:c r="J115" s="19"/>
      <x:c r="K115" s="19" t="str">
        <x:f>IF(A115="","",IF(E115="Expired","",IF(E115="Check Duration","",COUNTIFS($A$5:$A$204,"&lt;"&amp;A115,$E$5:$E$204,"&lt;&gt;Expired",$E$5:$E$204,"&lt;&gt;Check Duration")+COUNTIFS($A$5:A115,A115,$E$5:E115,"&lt;&gt;Expired",$E$5:E115,"&lt;&gt;Check Duration"))))</x:f>
      </x:c>
    </x:row>
    <x:row r="116">
      <x:c r="A116" s="21"/>
      <x:c r="B116" s="20"/>
      <x:c r="C116" s="19"/>
      <x:c r="D116" s="20" t="str">
        <x:f>IF(A116="","",IFERROR(B116+VLOOKUP(C116,Lists!$A$2:$B$101,2,FALSE),"Check duration"))</x:f>
      </x:c>
      <x:c r="E116" s="19" t="str">
        <x:f>IF(A116="","",IF(ISNUMBER(D116),IF(D116&lt;TODAY(),"Expired",IF(D116&lt;=TODAY()+7,"Expiring Soon","Active")),"Check Duration"))</x:f>
      </x:c>
      <x:c r="F116" s="19"/>
      <x:c r="G116" s="22"/>
      <x:c r="H116" s="22"/>
      <x:c r="I116" s="19"/>
      <x:c r="J116" s="19"/>
      <x:c r="K116" s="19" t="str">
        <x:f>IF(A116="","",IF(E116="Expired","",IF(E116="Check Duration","",COUNTIFS($A$5:$A$204,"&lt;"&amp;A116,$E$5:$E$204,"&lt;&gt;Expired",$E$5:$E$204,"&lt;&gt;Check Duration")+COUNTIFS($A$5:A116,A116,$E$5:E116,"&lt;&gt;Expired",$E$5:E116,"&lt;&gt;Check Duration"))))</x:f>
      </x:c>
    </x:row>
    <x:row r="117">
      <x:c r="A117" s="21"/>
      <x:c r="B117" s="20"/>
      <x:c r="C117" s="19"/>
      <x:c r="D117" s="20" t="str">
        <x:f>IF(A117="","",IFERROR(B117+VLOOKUP(C117,Lists!$A$2:$B$101,2,FALSE),"Check duration"))</x:f>
      </x:c>
      <x:c r="E117" s="19" t="str">
        <x:f>IF(A117="","",IF(ISNUMBER(D117),IF(D117&lt;TODAY(),"Expired",IF(D117&lt;=TODAY()+7,"Expiring Soon","Active")),"Check Duration"))</x:f>
      </x:c>
      <x:c r="F117" s="19"/>
      <x:c r="G117" s="22"/>
      <x:c r="H117" s="22"/>
      <x:c r="I117" s="19"/>
      <x:c r="J117" s="19"/>
      <x:c r="K117" s="19" t="str">
        <x:f>IF(A117="","",IF(E117="Expired","",IF(E117="Check Duration","",COUNTIFS($A$5:$A$204,"&lt;"&amp;A117,$E$5:$E$204,"&lt;&gt;Expired",$E$5:$E$204,"&lt;&gt;Check Duration")+COUNTIFS($A$5:A117,A117,$E$5:E117,"&lt;&gt;Expired",$E$5:E117,"&lt;&gt;Check Duration"))))</x:f>
      </x:c>
    </x:row>
    <x:row r="118">
      <x:c r="A118" s="21"/>
      <x:c r="B118" s="20"/>
      <x:c r="C118" s="19"/>
      <x:c r="D118" s="20" t="str">
        <x:f>IF(A118="","",IFERROR(B118+VLOOKUP(C118,Lists!$A$2:$B$101,2,FALSE),"Check duration"))</x:f>
      </x:c>
      <x:c r="E118" s="19" t="str">
        <x:f>IF(A118="","",IF(ISNUMBER(D118),IF(D118&lt;TODAY(),"Expired",IF(D118&lt;=TODAY()+7,"Expiring Soon","Active")),"Check Duration"))</x:f>
      </x:c>
      <x:c r="F118" s="19"/>
      <x:c r="G118" s="22"/>
      <x:c r="H118" s="22"/>
      <x:c r="I118" s="19"/>
      <x:c r="J118" s="19"/>
      <x:c r="K118" s="19" t="str">
        <x:f>IF(A118="","",IF(E118="Expired","",IF(E118="Check Duration","",COUNTIFS($A$5:$A$204,"&lt;"&amp;A118,$E$5:$E$204,"&lt;&gt;Expired",$E$5:$E$204,"&lt;&gt;Check Duration")+COUNTIFS($A$5:A118,A118,$E$5:E118,"&lt;&gt;Expired",$E$5:E118,"&lt;&gt;Check Duration"))))</x:f>
      </x:c>
    </x:row>
    <x:row r="119">
      <x:c r="A119" s="21"/>
      <x:c r="B119" s="20"/>
      <x:c r="C119" s="19"/>
      <x:c r="D119" s="20" t="str">
        <x:f>IF(A119="","",IFERROR(B119+VLOOKUP(C119,Lists!$A$2:$B$101,2,FALSE),"Check duration"))</x:f>
      </x:c>
      <x:c r="E119" s="19" t="str">
        <x:f>IF(A119="","",IF(ISNUMBER(D119),IF(D119&lt;TODAY(),"Expired",IF(D119&lt;=TODAY()+7,"Expiring Soon","Active")),"Check Duration"))</x:f>
      </x:c>
      <x:c r="F119" s="19"/>
      <x:c r="G119" s="22"/>
      <x:c r="H119" s="22"/>
      <x:c r="I119" s="19"/>
      <x:c r="J119" s="19"/>
      <x:c r="K119" s="19" t="str">
        <x:f>IF(A119="","",IF(E119="Expired","",IF(E119="Check Duration","",COUNTIFS($A$5:$A$204,"&lt;"&amp;A119,$E$5:$E$204,"&lt;&gt;Expired",$E$5:$E$204,"&lt;&gt;Check Duration")+COUNTIFS($A$5:A119,A119,$E$5:E119,"&lt;&gt;Expired",$E$5:E119,"&lt;&gt;Check Duration"))))</x:f>
      </x:c>
    </x:row>
    <x:row r="120">
      <x:c r="A120" s="21"/>
      <x:c r="B120" s="20"/>
      <x:c r="C120" s="19"/>
      <x:c r="D120" s="20" t="str">
        <x:f>IF(A120="","",IFERROR(B120+VLOOKUP(C120,Lists!$A$2:$B$101,2,FALSE),"Check duration"))</x:f>
      </x:c>
      <x:c r="E120" s="19" t="str">
        <x:f>IF(A120="","",IF(ISNUMBER(D120),IF(D120&lt;TODAY(),"Expired",IF(D120&lt;=TODAY()+7,"Expiring Soon","Active")),"Check Duration"))</x:f>
      </x:c>
      <x:c r="F120" s="19"/>
      <x:c r="G120" s="22"/>
      <x:c r="H120" s="22"/>
      <x:c r="I120" s="19"/>
      <x:c r="J120" s="19"/>
      <x:c r="K120" s="19" t="str">
        <x:f>IF(A120="","",IF(E120="Expired","",IF(E120="Check Duration","",COUNTIFS($A$5:$A$204,"&lt;"&amp;A120,$E$5:$E$204,"&lt;&gt;Expired",$E$5:$E$204,"&lt;&gt;Check Duration")+COUNTIFS($A$5:A120,A120,$E$5:E120,"&lt;&gt;Expired",$E$5:E120,"&lt;&gt;Check Duration"))))</x:f>
      </x:c>
    </x:row>
    <x:row r="121">
      <x:c r="A121" s="21"/>
      <x:c r="B121" s="20"/>
      <x:c r="C121" s="19"/>
      <x:c r="D121" s="20" t="str">
        <x:f>IF(A121="","",IFERROR(B121+VLOOKUP(C121,Lists!$A$2:$B$101,2,FALSE),"Check duration"))</x:f>
      </x:c>
      <x:c r="E121" s="19" t="str">
        <x:f>IF(A121="","",IF(ISNUMBER(D121),IF(D121&lt;TODAY(),"Expired",IF(D121&lt;=TODAY()+7,"Expiring Soon","Active")),"Check Duration"))</x:f>
      </x:c>
      <x:c r="F121" s="19"/>
      <x:c r="G121" s="22"/>
      <x:c r="H121" s="22"/>
      <x:c r="I121" s="19"/>
      <x:c r="J121" s="19"/>
      <x:c r="K121" s="19" t="str">
        <x:f>IF(A121="","",IF(E121="Expired","",IF(E121="Check Duration","",COUNTIFS($A$5:$A$204,"&lt;"&amp;A121,$E$5:$E$204,"&lt;&gt;Expired",$E$5:$E$204,"&lt;&gt;Check Duration")+COUNTIFS($A$5:A121,A121,$E$5:E121,"&lt;&gt;Expired",$E$5:E121,"&lt;&gt;Check Duration"))))</x:f>
      </x:c>
    </x:row>
    <x:row r="122">
      <x:c r="A122" s="21"/>
      <x:c r="B122" s="20"/>
      <x:c r="C122" s="19"/>
      <x:c r="D122" s="20" t="str">
        <x:f>IF(A122="","",IFERROR(B122+VLOOKUP(C122,Lists!$A$2:$B$101,2,FALSE),"Check duration"))</x:f>
      </x:c>
      <x:c r="E122" s="19" t="str">
        <x:f>IF(A122="","",IF(ISNUMBER(D122),IF(D122&lt;TODAY(),"Expired",IF(D122&lt;=TODAY()+7,"Expiring Soon","Active")),"Check Duration"))</x:f>
      </x:c>
      <x:c r="F122" s="19"/>
      <x:c r="G122" s="22"/>
      <x:c r="H122" s="22"/>
      <x:c r="I122" s="19"/>
      <x:c r="J122" s="19"/>
      <x:c r="K122" s="19" t="str">
        <x:f>IF(A122="","",IF(E122="Expired","",IF(E122="Check Duration","",COUNTIFS($A$5:$A$204,"&lt;"&amp;A122,$E$5:$E$204,"&lt;&gt;Expired",$E$5:$E$204,"&lt;&gt;Check Duration")+COUNTIFS($A$5:A122,A122,$E$5:E122,"&lt;&gt;Expired",$E$5:E122,"&lt;&gt;Check Duration"))))</x:f>
      </x:c>
    </x:row>
    <x:row r="123">
      <x:c r="A123" s="21"/>
      <x:c r="B123" s="20"/>
      <x:c r="C123" s="19"/>
      <x:c r="D123" s="20" t="str">
        <x:f>IF(A123="","",IFERROR(B123+VLOOKUP(C123,Lists!$A$2:$B$101,2,FALSE),"Check duration"))</x:f>
      </x:c>
      <x:c r="E123" s="19" t="str">
        <x:f>IF(A123="","",IF(ISNUMBER(D123),IF(D123&lt;TODAY(),"Expired",IF(D123&lt;=TODAY()+7,"Expiring Soon","Active")),"Check Duration"))</x:f>
      </x:c>
      <x:c r="F123" s="19"/>
      <x:c r="G123" s="22"/>
      <x:c r="H123" s="22"/>
      <x:c r="I123" s="19"/>
      <x:c r="J123" s="19"/>
      <x:c r="K123" s="19" t="str">
        <x:f>IF(A123="","",IF(E123="Expired","",IF(E123="Check Duration","",COUNTIFS($A$5:$A$204,"&lt;"&amp;A123,$E$5:$E$204,"&lt;&gt;Expired",$E$5:$E$204,"&lt;&gt;Check Duration")+COUNTIFS($A$5:A123,A123,$E$5:E123,"&lt;&gt;Expired",$E$5:E123,"&lt;&gt;Check Duration"))))</x:f>
      </x:c>
    </x:row>
    <x:row r="124">
      <x:c r="A124" s="21"/>
      <x:c r="B124" s="20"/>
      <x:c r="C124" s="19"/>
      <x:c r="D124" s="20" t="str">
        <x:f>IF(A124="","",IFERROR(B124+VLOOKUP(C124,Lists!$A$2:$B$101,2,FALSE),"Check duration"))</x:f>
      </x:c>
      <x:c r="E124" s="19" t="str">
        <x:f>IF(A124="","",IF(ISNUMBER(D124),IF(D124&lt;TODAY(),"Expired",IF(D124&lt;=TODAY()+7,"Expiring Soon","Active")),"Check Duration"))</x:f>
      </x:c>
      <x:c r="F124" s="19"/>
      <x:c r="G124" s="22"/>
      <x:c r="H124" s="22"/>
      <x:c r="I124" s="19"/>
      <x:c r="J124" s="19"/>
      <x:c r="K124" s="19" t="str">
        <x:f>IF(A124="","",IF(E124="Expired","",IF(E124="Check Duration","",COUNTIFS($A$5:$A$204,"&lt;"&amp;A124,$E$5:$E$204,"&lt;&gt;Expired",$E$5:$E$204,"&lt;&gt;Check Duration")+COUNTIFS($A$5:A124,A124,$E$5:E124,"&lt;&gt;Expired",$E$5:E124,"&lt;&gt;Check Duration"))))</x:f>
      </x:c>
    </x:row>
    <x:row r="125">
      <x:c r="A125" s="21"/>
      <x:c r="B125" s="20"/>
      <x:c r="C125" s="19"/>
      <x:c r="D125" s="20" t="str">
        <x:f>IF(A125="","",IFERROR(B125+VLOOKUP(C125,Lists!$A$2:$B$101,2,FALSE),"Check duration"))</x:f>
      </x:c>
      <x:c r="E125" s="19" t="str">
        <x:f>IF(A125="","",IF(ISNUMBER(D125),IF(D125&lt;TODAY(),"Expired",IF(D125&lt;=TODAY()+7,"Expiring Soon","Active")),"Check Duration"))</x:f>
      </x:c>
      <x:c r="F125" s="19"/>
      <x:c r="G125" s="22"/>
      <x:c r="H125" s="22"/>
      <x:c r="I125" s="19"/>
      <x:c r="J125" s="19"/>
      <x:c r="K125" s="19" t="str">
        <x:f>IF(A125="","",IF(E125="Expired","",IF(E125="Check Duration","",COUNTIFS($A$5:$A$204,"&lt;"&amp;A125,$E$5:$E$204,"&lt;&gt;Expired",$E$5:$E$204,"&lt;&gt;Check Duration")+COUNTIFS($A$5:A125,A125,$E$5:E125,"&lt;&gt;Expired",$E$5:E125,"&lt;&gt;Check Duration"))))</x:f>
      </x:c>
    </x:row>
    <x:row r="126">
      <x:c r="A126" s="21"/>
      <x:c r="B126" s="20"/>
      <x:c r="C126" s="19"/>
      <x:c r="D126" s="20" t="str">
        <x:f>IF(A126="","",IFERROR(B126+VLOOKUP(C126,Lists!$A$2:$B$101,2,FALSE),"Check duration"))</x:f>
      </x:c>
      <x:c r="E126" s="19" t="str">
        <x:f>IF(A126="","",IF(ISNUMBER(D126),IF(D126&lt;TODAY(),"Expired",IF(D126&lt;=TODAY()+7,"Expiring Soon","Active")),"Check Duration"))</x:f>
      </x:c>
      <x:c r="F126" s="19"/>
      <x:c r="G126" s="22"/>
      <x:c r="H126" s="22"/>
      <x:c r="I126" s="19"/>
      <x:c r="J126" s="19"/>
      <x:c r="K126" s="19" t="str">
        <x:f>IF(A126="","",IF(E126="Expired","",IF(E126="Check Duration","",COUNTIFS($A$5:$A$204,"&lt;"&amp;A126,$E$5:$E$204,"&lt;&gt;Expired",$E$5:$E$204,"&lt;&gt;Check Duration")+COUNTIFS($A$5:A126,A126,$E$5:E126,"&lt;&gt;Expired",$E$5:E126,"&lt;&gt;Check Duration"))))</x:f>
      </x:c>
    </x:row>
    <x:row r="127">
      <x:c r="A127" s="21"/>
      <x:c r="B127" s="20"/>
      <x:c r="C127" s="19"/>
      <x:c r="D127" s="20" t="str">
        <x:f>IF(A127="","",IFERROR(B127+VLOOKUP(C127,Lists!$A$2:$B$101,2,FALSE),"Check duration"))</x:f>
      </x:c>
      <x:c r="E127" s="19" t="str">
        <x:f>IF(A127="","",IF(ISNUMBER(D127),IF(D127&lt;TODAY(),"Expired",IF(D127&lt;=TODAY()+7,"Expiring Soon","Active")),"Check Duration"))</x:f>
      </x:c>
      <x:c r="F127" s="19"/>
      <x:c r="G127" s="22"/>
      <x:c r="H127" s="22"/>
      <x:c r="I127" s="19"/>
      <x:c r="J127" s="19"/>
      <x:c r="K127" s="19" t="str">
        <x:f>IF(A127="","",IF(E127="Expired","",IF(E127="Check Duration","",COUNTIFS($A$5:$A$204,"&lt;"&amp;A127,$E$5:$E$204,"&lt;&gt;Expired",$E$5:$E$204,"&lt;&gt;Check Duration")+COUNTIFS($A$5:A127,A127,$E$5:E127,"&lt;&gt;Expired",$E$5:E127,"&lt;&gt;Check Duration"))))</x:f>
      </x:c>
    </x:row>
    <x:row r="128">
      <x:c r="A128" s="21"/>
      <x:c r="B128" s="20"/>
      <x:c r="C128" s="19"/>
      <x:c r="D128" s="20" t="str">
        <x:f>IF(A128="","",IFERROR(B128+VLOOKUP(C128,Lists!$A$2:$B$101,2,FALSE),"Check duration"))</x:f>
      </x:c>
      <x:c r="E128" s="19" t="str">
        <x:f>IF(A128="","",IF(ISNUMBER(D128),IF(D128&lt;TODAY(),"Expired",IF(D128&lt;=TODAY()+7,"Expiring Soon","Active")),"Check Duration"))</x:f>
      </x:c>
      <x:c r="F128" s="19"/>
      <x:c r="G128" s="22"/>
      <x:c r="H128" s="22"/>
      <x:c r="I128" s="19"/>
      <x:c r="J128" s="19"/>
      <x:c r="K128" s="19" t="str">
        <x:f>IF(A128="","",IF(E128="Expired","",IF(E128="Check Duration","",COUNTIFS($A$5:$A$204,"&lt;"&amp;A128,$E$5:$E$204,"&lt;&gt;Expired",$E$5:$E$204,"&lt;&gt;Check Duration")+COUNTIFS($A$5:A128,A128,$E$5:E128,"&lt;&gt;Expired",$E$5:E128,"&lt;&gt;Check Duration"))))</x:f>
      </x:c>
    </x:row>
    <x:row r="129">
      <x:c r="A129" s="21"/>
      <x:c r="B129" s="20"/>
      <x:c r="C129" s="19"/>
      <x:c r="D129" s="20" t="str">
        <x:f>IF(A129="","",IFERROR(B129+VLOOKUP(C129,Lists!$A$2:$B$101,2,FALSE),"Check duration"))</x:f>
      </x:c>
      <x:c r="E129" s="19" t="str">
        <x:f>IF(A129="","",IF(ISNUMBER(D129),IF(D129&lt;TODAY(),"Expired",IF(D129&lt;=TODAY()+7,"Expiring Soon","Active")),"Check Duration"))</x:f>
      </x:c>
      <x:c r="F129" s="19"/>
      <x:c r="G129" s="22"/>
      <x:c r="H129" s="22"/>
      <x:c r="I129" s="19"/>
      <x:c r="J129" s="19"/>
      <x:c r="K129" s="19" t="str">
        <x:f>IF(A129="","",IF(E129="Expired","",IF(E129="Check Duration","",COUNTIFS($A$5:$A$204,"&lt;"&amp;A129,$E$5:$E$204,"&lt;&gt;Expired",$E$5:$E$204,"&lt;&gt;Check Duration")+COUNTIFS($A$5:A129,A129,$E$5:E129,"&lt;&gt;Expired",$E$5:E129,"&lt;&gt;Check Duration"))))</x:f>
      </x:c>
    </x:row>
    <x:row r="130">
      <x:c r="A130" s="21"/>
      <x:c r="B130" s="20"/>
      <x:c r="C130" s="19"/>
      <x:c r="D130" s="20" t="str">
        <x:f>IF(A130="","",IFERROR(B130+VLOOKUP(C130,Lists!$A$2:$B$101,2,FALSE),"Check duration"))</x:f>
      </x:c>
      <x:c r="E130" s="19" t="str">
        <x:f>IF(A130="","",IF(ISNUMBER(D130),IF(D130&lt;TODAY(),"Expired",IF(D130&lt;=TODAY()+7,"Expiring Soon","Active")),"Check Duration"))</x:f>
      </x:c>
      <x:c r="F130" s="19"/>
      <x:c r="G130" s="22"/>
      <x:c r="H130" s="22"/>
      <x:c r="I130" s="19"/>
      <x:c r="J130" s="19"/>
      <x:c r="K130" s="19" t="str">
        <x:f>IF(A130="","",IF(E130="Expired","",IF(E130="Check Duration","",COUNTIFS($A$5:$A$204,"&lt;"&amp;A130,$E$5:$E$204,"&lt;&gt;Expired",$E$5:$E$204,"&lt;&gt;Check Duration")+COUNTIFS($A$5:A130,A130,$E$5:E130,"&lt;&gt;Expired",$E$5:E130,"&lt;&gt;Check Duration"))))</x:f>
      </x:c>
    </x:row>
    <x:row r="131">
      <x:c r="A131" s="21"/>
      <x:c r="B131" s="20"/>
      <x:c r="C131" s="19"/>
      <x:c r="D131" s="20" t="str">
        <x:f>IF(A131="","",IFERROR(B131+VLOOKUP(C131,Lists!$A$2:$B$101,2,FALSE),"Check duration"))</x:f>
      </x:c>
      <x:c r="E131" s="19" t="str">
        <x:f>IF(A131="","",IF(ISNUMBER(D131),IF(D131&lt;TODAY(),"Expired",IF(D131&lt;=TODAY()+7,"Expiring Soon","Active")),"Check Duration"))</x:f>
      </x:c>
      <x:c r="F131" s="19"/>
      <x:c r="G131" s="22"/>
      <x:c r="H131" s="22"/>
      <x:c r="I131" s="19"/>
      <x:c r="J131" s="19"/>
      <x:c r="K131" s="19" t="str">
        <x:f>IF(A131="","",IF(E131="Expired","",IF(E131="Check Duration","",COUNTIFS($A$5:$A$204,"&lt;"&amp;A131,$E$5:$E$204,"&lt;&gt;Expired",$E$5:$E$204,"&lt;&gt;Check Duration")+COUNTIFS($A$5:A131,A131,$E$5:E131,"&lt;&gt;Expired",$E$5:E131,"&lt;&gt;Check Duration"))))</x:f>
      </x:c>
    </x:row>
    <x:row r="132">
      <x:c r="A132" s="21"/>
      <x:c r="B132" s="20"/>
      <x:c r="C132" s="19"/>
      <x:c r="D132" s="20" t="str">
        <x:f>IF(A132="","",IFERROR(B132+VLOOKUP(C132,Lists!$A$2:$B$101,2,FALSE),"Check duration"))</x:f>
      </x:c>
      <x:c r="E132" s="19" t="str">
        <x:f>IF(A132="","",IF(ISNUMBER(D132),IF(D132&lt;TODAY(),"Expired",IF(D132&lt;=TODAY()+7,"Expiring Soon","Active")),"Check Duration"))</x:f>
      </x:c>
      <x:c r="F132" s="19"/>
      <x:c r="G132" s="22"/>
      <x:c r="H132" s="22"/>
      <x:c r="I132" s="19"/>
      <x:c r="J132" s="19"/>
      <x:c r="K132" s="19" t="str">
        <x:f>IF(A132="","",IF(E132="Expired","",IF(E132="Check Duration","",COUNTIFS($A$5:$A$204,"&lt;"&amp;A132,$E$5:$E$204,"&lt;&gt;Expired",$E$5:$E$204,"&lt;&gt;Check Duration")+COUNTIFS($A$5:A132,A132,$E$5:E132,"&lt;&gt;Expired",$E$5:E132,"&lt;&gt;Check Duration"))))</x:f>
      </x:c>
    </x:row>
    <x:row r="133">
      <x:c r="A133" s="21"/>
      <x:c r="B133" s="20"/>
      <x:c r="C133" s="19"/>
      <x:c r="D133" s="20" t="str">
        <x:f>IF(A133="","",IFERROR(B133+VLOOKUP(C133,Lists!$A$2:$B$101,2,FALSE),"Check duration"))</x:f>
      </x:c>
      <x:c r="E133" s="19" t="str">
        <x:f>IF(A133="","",IF(ISNUMBER(D133),IF(D133&lt;TODAY(),"Expired",IF(D133&lt;=TODAY()+7,"Expiring Soon","Active")),"Check Duration"))</x:f>
      </x:c>
      <x:c r="F133" s="19"/>
      <x:c r="G133" s="22"/>
      <x:c r="H133" s="22"/>
      <x:c r="I133" s="19"/>
      <x:c r="J133" s="19"/>
      <x:c r="K133" s="19" t="str">
        <x:f>IF(A133="","",IF(E133="Expired","",IF(E133="Check Duration","",COUNTIFS($A$5:$A$204,"&lt;"&amp;A133,$E$5:$E$204,"&lt;&gt;Expired",$E$5:$E$204,"&lt;&gt;Check Duration")+COUNTIFS($A$5:A133,A133,$E$5:E133,"&lt;&gt;Expired",$E$5:E133,"&lt;&gt;Check Duration"))))</x:f>
      </x:c>
    </x:row>
    <x:row r="134">
      <x:c r="A134" s="21"/>
      <x:c r="B134" s="20"/>
      <x:c r="C134" s="19"/>
      <x:c r="D134" s="20" t="str">
        <x:f>IF(A134="","",IFERROR(B134+VLOOKUP(C134,Lists!$A$2:$B$101,2,FALSE),"Check duration"))</x:f>
      </x:c>
      <x:c r="E134" s="19" t="str">
        <x:f>IF(A134="","",IF(ISNUMBER(D134),IF(D134&lt;TODAY(),"Expired",IF(D134&lt;=TODAY()+7,"Expiring Soon","Active")),"Check Duration"))</x:f>
      </x:c>
      <x:c r="F134" s="19"/>
      <x:c r="G134" s="22"/>
      <x:c r="H134" s="22"/>
      <x:c r="I134" s="19"/>
      <x:c r="J134" s="19"/>
      <x:c r="K134" s="19" t="str">
        <x:f>IF(A134="","",IF(E134="Expired","",IF(E134="Check Duration","",COUNTIFS($A$5:$A$204,"&lt;"&amp;A134,$E$5:$E$204,"&lt;&gt;Expired",$E$5:$E$204,"&lt;&gt;Check Duration")+COUNTIFS($A$5:A134,A134,$E$5:E134,"&lt;&gt;Expired",$E$5:E134,"&lt;&gt;Check Duration"))))</x:f>
      </x:c>
    </x:row>
    <x:row r="135">
      <x:c r="A135" s="21"/>
      <x:c r="B135" s="20"/>
      <x:c r="C135" s="19"/>
      <x:c r="D135" s="20" t="str">
        <x:f>IF(A135="","",IFERROR(B135+VLOOKUP(C135,Lists!$A$2:$B$101,2,FALSE),"Check duration"))</x:f>
      </x:c>
      <x:c r="E135" s="19" t="str">
        <x:f>IF(A135="","",IF(ISNUMBER(D135),IF(D135&lt;TODAY(),"Expired",IF(D135&lt;=TODAY()+7,"Expiring Soon","Active")),"Check Duration"))</x:f>
      </x:c>
      <x:c r="F135" s="19"/>
      <x:c r="G135" s="22"/>
      <x:c r="H135" s="22"/>
      <x:c r="I135" s="19"/>
      <x:c r="J135" s="19"/>
      <x:c r="K135" s="19" t="str">
        <x:f>IF(A135="","",IF(E135="Expired","",IF(E135="Check Duration","",COUNTIFS($A$5:$A$204,"&lt;"&amp;A135,$E$5:$E$204,"&lt;&gt;Expired",$E$5:$E$204,"&lt;&gt;Check Duration")+COUNTIFS($A$5:A135,A135,$E$5:E135,"&lt;&gt;Expired",$E$5:E135,"&lt;&gt;Check Duration"))))</x:f>
      </x:c>
    </x:row>
    <x:row r="136">
      <x:c r="A136" s="21"/>
      <x:c r="B136" s="20"/>
      <x:c r="C136" s="19"/>
      <x:c r="D136" s="20" t="str">
        <x:f>IF(A136="","",IFERROR(B136+VLOOKUP(C136,Lists!$A$2:$B$101,2,FALSE),"Check duration"))</x:f>
      </x:c>
      <x:c r="E136" s="19" t="str">
        <x:f>IF(A136="","",IF(ISNUMBER(D136),IF(D136&lt;TODAY(),"Expired",IF(D136&lt;=TODAY()+7,"Expiring Soon","Active")),"Check Duration"))</x:f>
      </x:c>
      <x:c r="F136" s="19"/>
      <x:c r="G136" s="22"/>
      <x:c r="H136" s="22"/>
      <x:c r="I136" s="19"/>
      <x:c r="J136" s="19"/>
      <x:c r="K136" s="19" t="str">
        <x:f>IF(A136="","",IF(E136="Expired","",IF(E136="Check Duration","",COUNTIFS($A$5:$A$204,"&lt;"&amp;A136,$E$5:$E$204,"&lt;&gt;Expired",$E$5:$E$204,"&lt;&gt;Check Duration")+COUNTIFS($A$5:A136,A136,$E$5:E136,"&lt;&gt;Expired",$E$5:E136,"&lt;&gt;Check Duration"))))</x:f>
      </x:c>
    </x:row>
    <x:row r="137">
      <x:c r="A137" s="21"/>
      <x:c r="B137" s="20"/>
      <x:c r="C137" s="19"/>
      <x:c r="D137" s="20" t="str">
        <x:f>IF(A137="","",IFERROR(B137+VLOOKUP(C137,Lists!$A$2:$B$101,2,FALSE),"Check duration"))</x:f>
      </x:c>
      <x:c r="E137" s="19" t="str">
        <x:f>IF(A137="","",IF(ISNUMBER(D137),IF(D137&lt;TODAY(),"Expired",IF(D137&lt;=TODAY()+7,"Expiring Soon","Active")),"Check Duration"))</x:f>
      </x:c>
      <x:c r="F137" s="19"/>
      <x:c r="G137" s="22"/>
      <x:c r="H137" s="22"/>
      <x:c r="I137" s="19"/>
      <x:c r="J137" s="19"/>
      <x:c r="K137" s="19" t="str">
        <x:f>IF(A137="","",IF(E137="Expired","",IF(E137="Check Duration","",COUNTIFS($A$5:$A$204,"&lt;"&amp;A137,$E$5:$E$204,"&lt;&gt;Expired",$E$5:$E$204,"&lt;&gt;Check Duration")+COUNTIFS($A$5:A137,A137,$E$5:E137,"&lt;&gt;Expired",$E$5:E137,"&lt;&gt;Check Duration"))))</x:f>
      </x:c>
    </x:row>
    <x:row r="138">
      <x:c r="A138" s="21"/>
      <x:c r="B138" s="20"/>
      <x:c r="C138" s="19"/>
      <x:c r="D138" s="20" t="str">
        <x:f>IF(A138="","",IFERROR(B138+VLOOKUP(C138,Lists!$A$2:$B$101,2,FALSE),"Check duration"))</x:f>
      </x:c>
      <x:c r="E138" s="19" t="str">
        <x:f>IF(A138="","",IF(ISNUMBER(D138),IF(D138&lt;TODAY(),"Expired",IF(D138&lt;=TODAY()+7,"Expiring Soon","Active")),"Check Duration"))</x:f>
      </x:c>
      <x:c r="F138" s="19"/>
      <x:c r="G138" s="22"/>
      <x:c r="H138" s="22"/>
      <x:c r="I138" s="19"/>
      <x:c r="J138" s="19"/>
      <x:c r="K138" s="19" t="str">
        <x:f>IF(A138="","",IF(E138="Expired","",IF(E138="Check Duration","",COUNTIFS($A$5:$A$204,"&lt;"&amp;A138,$E$5:$E$204,"&lt;&gt;Expired",$E$5:$E$204,"&lt;&gt;Check Duration")+COUNTIFS($A$5:A138,A138,$E$5:E138,"&lt;&gt;Expired",$E$5:E138,"&lt;&gt;Check Duration"))))</x:f>
      </x:c>
    </x:row>
    <x:row r="139">
      <x:c r="A139" s="21"/>
      <x:c r="B139" s="20"/>
      <x:c r="C139" s="19"/>
      <x:c r="D139" s="20" t="str">
        <x:f>IF(A139="","",IFERROR(B139+VLOOKUP(C139,Lists!$A$2:$B$101,2,FALSE),"Check duration"))</x:f>
      </x:c>
      <x:c r="E139" s="19" t="str">
        <x:f>IF(A139="","",IF(ISNUMBER(D139),IF(D139&lt;TODAY(),"Expired",IF(D139&lt;=TODAY()+7,"Expiring Soon","Active")),"Check Duration"))</x:f>
      </x:c>
      <x:c r="F139" s="19"/>
      <x:c r="G139" s="22"/>
      <x:c r="H139" s="22"/>
      <x:c r="I139" s="19"/>
      <x:c r="J139" s="19"/>
      <x:c r="K139" s="19" t="str">
        <x:f>IF(A139="","",IF(E139="Expired","",IF(E139="Check Duration","",COUNTIFS($A$5:$A$204,"&lt;"&amp;A139,$E$5:$E$204,"&lt;&gt;Expired",$E$5:$E$204,"&lt;&gt;Check Duration")+COUNTIFS($A$5:A139,A139,$E$5:E139,"&lt;&gt;Expired",$E$5:E139,"&lt;&gt;Check Duration"))))</x:f>
      </x:c>
    </x:row>
    <x:row r="140">
      <x:c r="A140" s="21"/>
      <x:c r="B140" s="20"/>
      <x:c r="C140" s="19"/>
      <x:c r="D140" s="20" t="str">
        <x:f>IF(A140="","",IFERROR(B140+VLOOKUP(C140,Lists!$A$2:$B$101,2,FALSE),"Check duration"))</x:f>
      </x:c>
      <x:c r="E140" s="19" t="str">
        <x:f>IF(A140="","",IF(ISNUMBER(D140),IF(D140&lt;TODAY(),"Expired",IF(D140&lt;=TODAY()+7,"Expiring Soon","Active")),"Check Duration"))</x:f>
      </x:c>
      <x:c r="F140" s="19"/>
      <x:c r="G140" s="22"/>
      <x:c r="H140" s="22"/>
      <x:c r="I140" s="19"/>
      <x:c r="J140" s="19"/>
      <x:c r="K140" s="19" t="str">
        <x:f>IF(A140="","",IF(E140="Expired","",IF(E140="Check Duration","",COUNTIFS($A$5:$A$204,"&lt;"&amp;A140,$E$5:$E$204,"&lt;&gt;Expired",$E$5:$E$204,"&lt;&gt;Check Duration")+COUNTIFS($A$5:A140,A140,$E$5:E140,"&lt;&gt;Expired",$E$5:E140,"&lt;&gt;Check Duration"))))</x:f>
      </x:c>
    </x:row>
    <x:row r="141">
      <x:c r="A141" s="21"/>
      <x:c r="B141" s="20"/>
      <x:c r="C141" s="19"/>
      <x:c r="D141" s="20" t="str">
        <x:f>IF(A141="","",IFERROR(B141+VLOOKUP(C141,Lists!$A$2:$B$101,2,FALSE),"Check duration"))</x:f>
      </x:c>
      <x:c r="E141" s="19" t="str">
        <x:f>IF(A141="","",IF(ISNUMBER(D141),IF(D141&lt;TODAY(),"Expired",IF(D141&lt;=TODAY()+7,"Expiring Soon","Active")),"Check Duration"))</x:f>
      </x:c>
      <x:c r="F141" s="19"/>
      <x:c r="G141" s="22"/>
      <x:c r="H141" s="22"/>
      <x:c r="I141" s="19"/>
      <x:c r="J141" s="19"/>
      <x:c r="K141" s="19" t="str">
        <x:f>IF(A141="","",IF(E141="Expired","",IF(E141="Check Duration","",COUNTIFS($A$5:$A$204,"&lt;"&amp;A141,$E$5:$E$204,"&lt;&gt;Expired",$E$5:$E$204,"&lt;&gt;Check Duration")+COUNTIFS($A$5:A141,A141,$E$5:E141,"&lt;&gt;Expired",$E$5:E141,"&lt;&gt;Check Duration"))))</x:f>
      </x:c>
    </x:row>
    <x:row r="142">
      <x:c r="A142" s="21"/>
      <x:c r="B142" s="20"/>
      <x:c r="C142" s="19"/>
      <x:c r="D142" s="20" t="str">
        <x:f>IF(A142="","",IFERROR(B142+VLOOKUP(C142,Lists!$A$2:$B$101,2,FALSE),"Check duration"))</x:f>
      </x:c>
      <x:c r="E142" s="19" t="str">
        <x:f>IF(A142="","",IF(ISNUMBER(D142),IF(D142&lt;TODAY(),"Expired",IF(D142&lt;=TODAY()+7,"Expiring Soon","Active")),"Check Duration"))</x:f>
      </x:c>
      <x:c r="F142" s="19"/>
      <x:c r="G142" s="22"/>
      <x:c r="H142" s="22"/>
      <x:c r="I142" s="19"/>
      <x:c r="J142" s="19"/>
      <x:c r="K142" s="19" t="str">
        <x:f>IF(A142="","",IF(E142="Expired","",IF(E142="Check Duration","",COUNTIFS($A$5:$A$204,"&lt;"&amp;A142,$E$5:$E$204,"&lt;&gt;Expired",$E$5:$E$204,"&lt;&gt;Check Duration")+COUNTIFS($A$5:A142,A142,$E$5:E142,"&lt;&gt;Expired",$E$5:E142,"&lt;&gt;Check Duration"))))</x:f>
      </x:c>
    </x:row>
    <x:row r="143">
      <x:c r="A143" s="21"/>
      <x:c r="B143" s="20"/>
      <x:c r="C143" s="19"/>
      <x:c r="D143" s="20" t="str">
        <x:f>IF(A143="","",IFERROR(B143+VLOOKUP(C143,Lists!$A$2:$B$101,2,FALSE),"Check duration"))</x:f>
      </x:c>
      <x:c r="E143" s="19" t="str">
        <x:f>IF(A143="","",IF(ISNUMBER(D143),IF(D143&lt;TODAY(),"Expired",IF(D143&lt;=TODAY()+7,"Expiring Soon","Active")),"Check Duration"))</x:f>
      </x:c>
      <x:c r="F143" s="19"/>
      <x:c r="G143" s="22"/>
      <x:c r="H143" s="22"/>
      <x:c r="I143" s="19"/>
      <x:c r="J143" s="19"/>
      <x:c r="K143" s="19" t="str">
        <x:f>IF(A143="","",IF(E143="Expired","",IF(E143="Check Duration","",COUNTIFS($A$5:$A$204,"&lt;"&amp;A143,$E$5:$E$204,"&lt;&gt;Expired",$E$5:$E$204,"&lt;&gt;Check Duration")+COUNTIFS($A$5:A143,A143,$E$5:E143,"&lt;&gt;Expired",$E$5:E143,"&lt;&gt;Check Duration"))))</x:f>
      </x:c>
    </x:row>
    <x:row r="144">
      <x:c r="A144" s="21"/>
      <x:c r="B144" s="20"/>
      <x:c r="C144" s="19"/>
      <x:c r="D144" s="20" t="str">
        <x:f>IF(A144="","",IFERROR(B144+VLOOKUP(C144,Lists!$A$2:$B$101,2,FALSE),"Check duration"))</x:f>
      </x:c>
      <x:c r="E144" s="19" t="str">
        <x:f>IF(A144="","",IF(ISNUMBER(D144),IF(D144&lt;TODAY(),"Expired",IF(D144&lt;=TODAY()+7,"Expiring Soon","Active")),"Check Duration"))</x:f>
      </x:c>
      <x:c r="F144" s="19"/>
      <x:c r="G144" s="22"/>
      <x:c r="H144" s="22"/>
      <x:c r="I144" s="19"/>
      <x:c r="J144" s="19"/>
      <x:c r="K144" s="19" t="str">
        <x:f>IF(A144="","",IF(E144="Expired","",IF(E144="Check Duration","",COUNTIFS($A$5:$A$204,"&lt;"&amp;A144,$E$5:$E$204,"&lt;&gt;Expired",$E$5:$E$204,"&lt;&gt;Check Duration")+COUNTIFS($A$5:A144,A144,$E$5:E144,"&lt;&gt;Expired",$E$5:E144,"&lt;&gt;Check Duration"))))</x:f>
      </x:c>
    </x:row>
    <x:row r="145">
      <x:c r="A145" s="21"/>
      <x:c r="B145" s="20"/>
      <x:c r="C145" s="19"/>
      <x:c r="D145" s="20" t="str">
        <x:f>IF(A145="","",IFERROR(B145+VLOOKUP(C145,Lists!$A$2:$B$101,2,FALSE),"Check duration"))</x:f>
      </x:c>
      <x:c r="E145" s="19" t="str">
        <x:f>IF(A145="","",IF(ISNUMBER(D145),IF(D145&lt;TODAY(),"Expired",IF(D145&lt;=TODAY()+7,"Expiring Soon","Active")),"Check Duration"))</x:f>
      </x:c>
      <x:c r="F145" s="19"/>
      <x:c r="G145" s="22"/>
      <x:c r="H145" s="22"/>
      <x:c r="I145" s="19"/>
      <x:c r="J145" s="19"/>
      <x:c r="K145" s="19" t="str">
        <x:f>IF(A145="","",IF(E145="Expired","",IF(E145="Check Duration","",COUNTIFS($A$5:$A$204,"&lt;"&amp;A145,$E$5:$E$204,"&lt;&gt;Expired",$E$5:$E$204,"&lt;&gt;Check Duration")+COUNTIFS($A$5:A145,A145,$E$5:E145,"&lt;&gt;Expired",$E$5:E145,"&lt;&gt;Check Duration"))))</x:f>
      </x:c>
    </x:row>
    <x:row r="146">
      <x:c r="A146" s="21"/>
      <x:c r="B146" s="20"/>
      <x:c r="C146" s="19"/>
      <x:c r="D146" s="20" t="str">
        <x:f>IF(A146="","",IFERROR(B146+VLOOKUP(C146,Lists!$A$2:$B$101,2,FALSE),"Check duration"))</x:f>
      </x:c>
      <x:c r="E146" s="19" t="str">
        <x:f>IF(A146="","",IF(ISNUMBER(D146),IF(D146&lt;TODAY(),"Expired",IF(D146&lt;=TODAY()+7,"Expiring Soon","Active")),"Check Duration"))</x:f>
      </x:c>
      <x:c r="F146" s="19"/>
      <x:c r="G146" s="22"/>
      <x:c r="H146" s="22"/>
      <x:c r="I146" s="19"/>
      <x:c r="J146" s="19"/>
      <x:c r="K146" s="19" t="str">
        <x:f>IF(A146="","",IF(E146="Expired","",IF(E146="Check Duration","",COUNTIFS($A$5:$A$204,"&lt;"&amp;A146,$E$5:$E$204,"&lt;&gt;Expired",$E$5:$E$204,"&lt;&gt;Check Duration")+COUNTIFS($A$5:A146,A146,$E$5:E146,"&lt;&gt;Expired",$E$5:E146,"&lt;&gt;Check Duration"))))</x:f>
      </x:c>
    </x:row>
    <x:row r="147">
      <x:c r="A147" s="21"/>
      <x:c r="B147" s="20"/>
      <x:c r="C147" s="19"/>
      <x:c r="D147" s="20" t="str">
        <x:f>IF(A147="","",IFERROR(B147+VLOOKUP(C147,Lists!$A$2:$B$101,2,FALSE),"Check duration"))</x:f>
      </x:c>
      <x:c r="E147" s="19" t="str">
        <x:f>IF(A147="","",IF(ISNUMBER(D147),IF(D147&lt;TODAY(),"Expired",IF(D147&lt;=TODAY()+7,"Expiring Soon","Active")),"Check Duration"))</x:f>
      </x:c>
      <x:c r="F147" s="19"/>
      <x:c r="G147" s="22"/>
      <x:c r="H147" s="22"/>
      <x:c r="I147" s="19"/>
      <x:c r="J147" s="19"/>
      <x:c r="K147" s="19" t="str">
        <x:f>IF(A147="","",IF(E147="Expired","",IF(E147="Check Duration","",COUNTIFS($A$5:$A$204,"&lt;"&amp;A147,$E$5:$E$204,"&lt;&gt;Expired",$E$5:$E$204,"&lt;&gt;Check Duration")+COUNTIFS($A$5:A147,A147,$E$5:E147,"&lt;&gt;Expired",$E$5:E147,"&lt;&gt;Check Duration"))))</x:f>
      </x:c>
    </x:row>
    <x:row r="148">
      <x:c r="A148" s="21"/>
      <x:c r="B148" s="20"/>
      <x:c r="C148" s="19"/>
      <x:c r="D148" s="20" t="str">
        <x:f>IF(A148="","",IFERROR(B148+VLOOKUP(C148,Lists!$A$2:$B$101,2,FALSE),"Check duration"))</x:f>
      </x:c>
      <x:c r="E148" s="19" t="str">
        <x:f>IF(A148="","",IF(ISNUMBER(D148),IF(D148&lt;TODAY(),"Expired",IF(D148&lt;=TODAY()+7,"Expiring Soon","Active")),"Check Duration"))</x:f>
      </x:c>
      <x:c r="F148" s="19"/>
      <x:c r="G148" s="22"/>
      <x:c r="H148" s="22"/>
      <x:c r="I148" s="19"/>
      <x:c r="J148" s="19"/>
      <x:c r="K148" s="19" t="str">
        <x:f>IF(A148="","",IF(E148="Expired","",IF(E148="Check Duration","",COUNTIFS($A$5:$A$204,"&lt;"&amp;A148,$E$5:$E$204,"&lt;&gt;Expired",$E$5:$E$204,"&lt;&gt;Check Duration")+COUNTIFS($A$5:A148,A148,$E$5:E148,"&lt;&gt;Expired",$E$5:E148,"&lt;&gt;Check Duration"))))</x:f>
      </x:c>
    </x:row>
    <x:row r="149">
      <x:c r="A149" s="21"/>
      <x:c r="B149" s="20"/>
      <x:c r="C149" s="19"/>
      <x:c r="D149" s="20" t="str">
        <x:f>IF(A149="","",IFERROR(B149+VLOOKUP(C149,Lists!$A$2:$B$101,2,FALSE),"Check duration"))</x:f>
      </x:c>
      <x:c r="E149" s="19" t="str">
        <x:f>IF(A149="","",IF(ISNUMBER(D149),IF(D149&lt;TODAY(),"Expired",IF(D149&lt;=TODAY()+7,"Expiring Soon","Active")),"Check Duration"))</x:f>
      </x:c>
      <x:c r="F149" s="19"/>
      <x:c r="G149" s="22"/>
      <x:c r="H149" s="22"/>
      <x:c r="I149" s="19"/>
      <x:c r="J149" s="19"/>
      <x:c r="K149" s="19" t="str">
        <x:f>IF(A149="","",IF(E149="Expired","",IF(E149="Check Duration","",COUNTIFS($A$5:$A$204,"&lt;"&amp;A149,$E$5:$E$204,"&lt;&gt;Expired",$E$5:$E$204,"&lt;&gt;Check Duration")+COUNTIFS($A$5:A149,A149,$E$5:E149,"&lt;&gt;Expired",$E$5:E149,"&lt;&gt;Check Duration"))))</x:f>
      </x:c>
    </x:row>
    <x:row r="150">
      <x:c r="A150" s="21"/>
      <x:c r="B150" s="20"/>
      <x:c r="C150" s="19"/>
      <x:c r="D150" s="20" t="str">
        <x:f>IF(A150="","",IFERROR(B150+VLOOKUP(C150,Lists!$A$2:$B$101,2,FALSE),"Check duration"))</x:f>
      </x:c>
      <x:c r="E150" s="19" t="str">
        <x:f>IF(A150="","",IF(ISNUMBER(D150),IF(D150&lt;TODAY(),"Expired",IF(D150&lt;=TODAY()+7,"Expiring Soon","Active")),"Check Duration"))</x:f>
      </x:c>
      <x:c r="F150" s="19"/>
      <x:c r="G150" s="22"/>
      <x:c r="H150" s="22"/>
      <x:c r="I150" s="19"/>
      <x:c r="J150" s="19"/>
      <x:c r="K150" s="19" t="str">
        <x:f>IF(A150="","",IF(E150="Expired","",IF(E150="Check Duration","",COUNTIFS($A$5:$A$204,"&lt;"&amp;A150,$E$5:$E$204,"&lt;&gt;Expired",$E$5:$E$204,"&lt;&gt;Check Duration")+COUNTIFS($A$5:A150,A150,$E$5:E150,"&lt;&gt;Expired",$E$5:E150,"&lt;&gt;Check Duration"))))</x:f>
      </x:c>
    </x:row>
    <x:row r="151">
      <x:c r="A151" s="21"/>
      <x:c r="B151" s="20"/>
      <x:c r="C151" s="19"/>
      <x:c r="D151" s="20" t="str">
        <x:f>IF(A151="","",IFERROR(B151+VLOOKUP(C151,Lists!$A$2:$B$101,2,FALSE),"Check duration"))</x:f>
      </x:c>
      <x:c r="E151" s="19" t="str">
        <x:f>IF(A151="","",IF(ISNUMBER(D151),IF(D151&lt;TODAY(),"Expired",IF(D151&lt;=TODAY()+7,"Expiring Soon","Active")),"Check Duration"))</x:f>
      </x:c>
      <x:c r="F151" s="19"/>
      <x:c r="G151" s="22"/>
      <x:c r="H151" s="22"/>
      <x:c r="I151" s="19"/>
      <x:c r="J151" s="19"/>
      <x:c r="K151" s="19" t="str">
        <x:f>IF(A151="","",IF(E151="Expired","",IF(E151="Check Duration","",COUNTIFS($A$5:$A$204,"&lt;"&amp;A151,$E$5:$E$204,"&lt;&gt;Expired",$E$5:$E$204,"&lt;&gt;Check Duration")+COUNTIFS($A$5:A151,A151,$E$5:E151,"&lt;&gt;Expired",$E$5:E151,"&lt;&gt;Check Duration"))))</x:f>
      </x:c>
    </x:row>
    <x:row r="152">
      <x:c r="A152" s="21"/>
      <x:c r="B152" s="20"/>
      <x:c r="C152" s="19"/>
      <x:c r="D152" s="20" t="str">
        <x:f>IF(A152="","",IFERROR(B152+VLOOKUP(C152,Lists!$A$2:$B$101,2,FALSE),"Check duration"))</x:f>
      </x:c>
      <x:c r="E152" s="19" t="str">
        <x:f>IF(A152="","",IF(ISNUMBER(D152),IF(D152&lt;TODAY(),"Expired",IF(D152&lt;=TODAY()+7,"Expiring Soon","Active")),"Check Duration"))</x:f>
      </x:c>
      <x:c r="F152" s="19"/>
      <x:c r="G152" s="22"/>
      <x:c r="H152" s="22"/>
      <x:c r="I152" s="19"/>
      <x:c r="J152" s="19"/>
      <x:c r="K152" s="19" t="str">
        <x:f>IF(A152="","",IF(E152="Expired","",IF(E152="Check Duration","",COUNTIFS($A$5:$A$204,"&lt;"&amp;A152,$E$5:$E$204,"&lt;&gt;Expired",$E$5:$E$204,"&lt;&gt;Check Duration")+COUNTIFS($A$5:A152,A152,$E$5:E152,"&lt;&gt;Expired",$E$5:E152,"&lt;&gt;Check Duration"))))</x:f>
      </x:c>
    </x:row>
    <x:row r="153">
      <x:c r="A153" s="21"/>
      <x:c r="B153" s="20"/>
      <x:c r="C153" s="19"/>
      <x:c r="D153" s="20" t="str">
        <x:f>IF(A153="","",IFERROR(B153+VLOOKUP(C153,Lists!$A$2:$B$101,2,FALSE),"Check duration"))</x:f>
      </x:c>
      <x:c r="E153" s="19" t="str">
        <x:f>IF(A153="","",IF(ISNUMBER(D153),IF(D153&lt;TODAY(),"Expired",IF(D153&lt;=TODAY()+7,"Expiring Soon","Active")),"Check Duration"))</x:f>
      </x:c>
      <x:c r="F153" s="19"/>
      <x:c r="G153" s="22"/>
      <x:c r="H153" s="22"/>
      <x:c r="I153" s="19"/>
      <x:c r="J153" s="19"/>
      <x:c r="K153" s="19" t="str">
        <x:f>IF(A153="","",IF(E153="Expired","",IF(E153="Check Duration","",COUNTIFS($A$5:$A$204,"&lt;"&amp;A153,$E$5:$E$204,"&lt;&gt;Expired",$E$5:$E$204,"&lt;&gt;Check Duration")+COUNTIFS($A$5:A153,A153,$E$5:E153,"&lt;&gt;Expired",$E$5:E153,"&lt;&gt;Check Duration"))))</x:f>
      </x:c>
    </x:row>
    <x:row r="154">
      <x:c r="A154" s="21"/>
      <x:c r="B154" s="20"/>
      <x:c r="C154" s="19"/>
      <x:c r="D154" s="20" t="str">
        <x:f>IF(A154="","",IFERROR(B154+VLOOKUP(C154,Lists!$A$2:$B$101,2,FALSE),"Check duration"))</x:f>
      </x:c>
      <x:c r="E154" s="19" t="str">
        <x:f>IF(A154="","",IF(ISNUMBER(D154),IF(D154&lt;TODAY(),"Expired",IF(D154&lt;=TODAY()+7,"Expiring Soon","Active")),"Check Duration"))</x:f>
      </x:c>
      <x:c r="F154" s="19"/>
      <x:c r="G154" s="22"/>
      <x:c r="H154" s="22"/>
      <x:c r="I154" s="19"/>
      <x:c r="J154" s="19"/>
      <x:c r="K154" s="19" t="str">
        <x:f>IF(A154="","",IF(E154="Expired","",IF(E154="Check Duration","",COUNTIFS($A$5:$A$204,"&lt;"&amp;A154,$E$5:$E$204,"&lt;&gt;Expired",$E$5:$E$204,"&lt;&gt;Check Duration")+COUNTIFS($A$5:A154,A154,$E$5:E154,"&lt;&gt;Expired",$E$5:E154,"&lt;&gt;Check Duration"))))</x:f>
      </x:c>
    </x:row>
    <x:row r="155">
      <x:c r="A155" s="21"/>
      <x:c r="B155" s="20"/>
      <x:c r="C155" s="19"/>
      <x:c r="D155" s="20" t="str">
        <x:f>IF(A155="","",IFERROR(B155+VLOOKUP(C155,Lists!$A$2:$B$101,2,FALSE),"Check duration"))</x:f>
      </x:c>
      <x:c r="E155" s="19" t="str">
        <x:f>IF(A155="","",IF(ISNUMBER(D155),IF(D155&lt;TODAY(),"Expired",IF(D155&lt;=TODAY()+7,"Expiring Soon","Active")),"Check Duration"))</x:f>
      </x:c>
      <x:c r="F155" s="19"/>
      <x:c r="G155" s="22"/>
      <x:c r="H155" s="22"/>
      <x:c r="I155" s="19"/>
      <x:c r="J155" s="19"/>
      <x:c r="K155" s="19" t="str">
        <x:f>IF(A155="","",IF(E155="Expired","",IF(E155="Check Duration","",COUNTIFS($A$5:$A$204,"&lt;"&amp;A155,$E$5:$E$204,"&lt;&gt;Expired",$E$5:$E$204,"&lt;&gt;Check Duration")+COUNTIFS($A$5:A155,A155,$E$5:E155,"&lt;&gt;Expired",$E$5:E155,"&lt;&gt;Check Duration"))))</x:f>
      </x:c>
    </x:row>
    <x:row r="156">
      <x:c r="A156" s="21"/>
      <x:c r="B156" s="20"/>
      <x:c r="C156" s="19"/>
      <x:c r="D156" s="20" t="str">
        <x:f>IF(A156="","",IFERROR(B156+VLOOKUP(C156,Lists!$A$2:$B$101,2,FALSE),"Check duration"))</x:f>
      </x:c>
      <x:c r="E156" s="19" t="str">
        <x:f>IF(A156="","",IF(ISNUMBER(D156),IF(D156&lt;TODAY(),"Expired",IF(D156&lt;=TODAY()+7,"Expiring Soon","Active")),"Check Duration"))</x:f>
      </x:c>
      <x:c r="F156" s="19"/>
      <x:c r="G156" s="22"/>
      <x:c r="H156" s="22"/>
      <x:c r="I156" s="19"/>
      <x:c r="J156" s="19"/>
      <x:c r="K156" s="19" t="str">
        <x:f>IF(A156="","",IF(E156="Expired","",IF(E156="Check Duration","",COUNTIFS($A$5:$A$204,"&lt;"&amp;A156,$E$5:$E$204,"&lt;&gt;Expired",$E$5:$E$204,"&lt;&gt;Check Duration")+COUNTIFS($A$5:A156,A156,$E$5:E156,"&lt;&gt;Expired",$E$5:E156,"&lt;&gt;Check Duration"))))</x:f>
      </x:c>
    </x:row>
    <x:row r="157">
      <x:c r="A157" s="21"/>
      <x:c r="B157" s="20"/>
      <x:c r="C157" s="19"/>
      <x:c r="D157" s="20" t="str">
        <x:f>IF(A157="","",IFERROR(B157+VLOOKUP(C157,Lists!$A$2:$B$101,2,FALSE),"Check duration"))</x:f>
      </x:c>
      <x:c r="E157" s="19" t="str">
        <x:f>IF(A157="","",IF(ISNUMBER(D157),IF(D157&lt;TODAY(),"Expired",IF(D157&lt;=TODAY()+7,"Expiring Soon","Active")),"Check Duration"))</x:f>
      </x:c>
      <x:c r="F157" s="19"/>
      <x:c r="G157" s="22"/>
      <x:c r="H157" s="22"/>
      <x:c r="I157" s="19"/>
      <x:c r="J157" s="19"/>
      <x:c r="K157" s="19" t="str">
        <x:f>IF(A157="","",IF(E157="Expired","",IF(E157="Check Duration","",COUNTIFS($A$5:$A$204,"&lt;"&amp;A157,$E$5:$E$204,"&lt;&gt;Expired",$E$5:$E$204,"&lt;&gt;Check Duration")+COUNTIFS($A$5:A157,A157,$E$5:E157,"&lt;&gt;Expired",$E$5:E157,"&lt;&gt;Check Duration"))))</x:f>
      </x:c>
    </x:row>
    <x:row r="158">
      <x:c r="A158" s="21"/>
      <x:c r="B158" s="20"/>
      <x:c r="C158" s="19"/>
      <x:c r="D158" s="20" t="str">
        <x:f>IF(A158="","",IFERROR(B158+VLOOKUP(C158,Lists!$A$2:$B$101,2,FALSE),"Check duration"))</x:f>
      </x:c>
      <x:c r="E158" s="19" t="str">
        <x:f>IF(A158="","",IF(ISNUMBER(D158),IF(D158&lt;TODAY(),"Expired",IF(D158&lt;=TODAY()+7,"Expiring Soon","Active")),"Check Duration"))</x:f>
      </x:c>
      <x:c r="F158" s="19"/>
      <x:c r="G158" s="22"/>
      <x:c r="H158" s="22"/>
      <x:c r="I158" s="19"/>
      <x:c r="J158" s="19"/>
      <x:c r="K158" s="19" t="str">
        <x:f>IF(A158="","",IF(E158="Expired","",IF(E158="Check Duration","",COUNTIFS($A$5:$A$204,"&lt;"&amp;A158,$E$5:$E$204,"&lt;&gt;Expired",$E$5:$E$204,"&lt;&gt;Check Duration")+COUNTIFS($A$5:A158,A158,$E$5:E158,"&lt;&gt;Expired",$E$5:E158,"&lt;&gt;Check Duration"))))</x:f>
      </x:c>
    </x:row>
    <x:row r="159">
      <x:c r="A159" s="21"/>
      <x:c r="B159" s="20"/>
      <x:c r="C159" s="19"/>
      <x:c r="D159" s="20" t="str">
        <x:f>IF(A159="","",IFERROR(B159+VLOOKUP(C159,Lists!$A$2:$B$101,2,FALSE),"Check duration"))</x:f>
      </x:c>
      <x:c r="E159" s="19" t="str">
        <x:f>IF(A159="","",IF(ISNUMBER(D159),IF(D159&lt;TODAY(),"Expired",IF(D159&lt;=TODAY()+7,"Expiring Soon","Active")),"Check Duration"))</x:f>
      </x:c>
      <x:c r="F159" s="19"/>
      <x:c r="G159" s="22"/>
      <x:c r="H159" s="22"/>
      <x:c r="I159" s="19"/>
      <x:c r="J159" s="19"/>
      <x:c r="K159" s="19" t="str">
        <x:f>IF(A159="","",IF(E159="Expired","",IF(E159="Check Duration","",COUNTIFS($A$5:$A$204,"&lt;"&amp;A159,$E$5:$E$204,"&lt;&gt;Expired",$E$5:$E$204,"&lt;&gt;Check Duration")+COUNTIFS($A$5:A159,A159,$E$5:E159,"&lt;&gt;Expired",$E$5:E159,"&lt;&gt;Check Duration"))))</x:f>
      </x:c>
    </x:row>
    <x:row r="160">
      <x:c r="A160" s="21"/>
      <x:c r="B160" s="20"/>
      <x:c r="C160" s="19"/>
      <x:c r="D160" s="20" t="str">
        <x:f>IF(A160="","",IFERROR(B160+VLOOKUP(C160,Lists!$A$2:$B$101,2,FALSE),"Check duration"))</x:f>
      </x:c>
      <x:c r="E160" s="19" t="str">
        <x:f>IF(A160="","",IF(ISNUMBER(D160),IF(D160&lt;TODAY(),"Expired",IF(D160&lt;=TODAY()+7,"Expiring Soon","Active")),"Check Duration"))</x:f>
      </x:c>
      <x:c r="F160" s="19"/>
      <x:c r="G160" s="22"/>
      <x:c r="H160" s="22"/>
      <x:c r="I160" s="19"/>
      <x:c r="J160" s="19"/>
      <x:c r="K160" s="19" t="str">
        <x:f>IF(A160="","",IF(E160="Expired","",IF(E160="Check Duration","",COUNTIFS($A$5:$A$204,"&lt;"&amp;A160,$E$5:$E$204,"&lt;&gt;Expired",$E$5:$E$204,"&lt;&gt;Check Duration")+COUNTIFS($A$5:A160,A160,$E$5:E160,"&lt;&gt;Expired",$E$5:E160,"&lt;&gt;Check Duration"))))</x:f>
      </x:c>
    </x:row>
    <x:row r="161">
      <x:c r="A161" s="21"/>
      <x:c r="B161" s="20"/>
      <x:c r="C161" s="19"/>
      <x:c r="D161" s="20" t="str">
        <x:f>IF(A161="","",IFERROR(B161+VLOOKUP(C161,Lists!$A$2:$B$101,2,FALSE),"Check duration"))</x:f>
      </x:c>
      <x:c r="E161" s="19" t="str">
        <x:f>IF(A161="","",IF(ISNUMBER(D161),IF(D161&lt;TODAY(),"Expired",IF(D161&lt;=TODAY()+7,"Expiring Soon","Active")),"Check Duration"))</x:f>
      </x:c>
      <x:c r="F161" s="19"/>
      <x:c r="G161" s="22"/>
      <x:c r="H161" s="22"/>
      <x:c r="I161" s="19"/>
      <x:c r="J161" s="19"/>
      <x:c r="K161" s="19" t="str">
        <x:f>IF(A161="","",IF(E161="Expired","",IF(E161="Check Duration","",COUNTIFS($A$5:$A$204,"&lt;"&amp;A161,$E$5:$E$204,"&lt;&gt;Expired",$E$5:$E$204,"&lt;&gt;Check Duration")+COUNTIFS($A$5:A161,A161,$E$5:E161,"&lt;&gt;Expired",$E$5:E161,"&lt;&gt;Check Duration"))))</x:f>
      </x:c>
    </x:row>
    <x:row r="162">
      <x:c r="A162" s="21"/>
      <x:c r="B162" s="20"/>
      <x:c r="C162" s="19"/>
      <x:c r="D162" s="20" t="str">
        <x:f>IF(A162="","",IFERROR(B162+VLOOKUP(C162,Lists!$A$2:$B$101,2,FALSE),"Check duration"))</x:f>
      </x:c>
      <x:c r="E162" s="19" t="str">
        <x:f>IF(A162="","",IF(ISNUMBER(D162),IF(D162&lt;TODAY(),"Expired",IF(D162&lt;=TODAY()+7,"Expiring Soon","Active")),"Check Duration"))</x:f>
      </x:c>
      <x:c r="F162" s="19"/>
      <x:c r="G162" s="22"/>
      <x:c r="H162" s="22"/>
      <x:c r="I162" s="19"/>
      <x:c r="J162" s="19"/>
      <x:c r="K162" s="19" t="str">
        <x:f>IF(A162="","",IF(E162="Expired","",IF(E162="Check Duration","",COUNTIFS($A$5:$A$204,"&lt;"&amp;A162,$E$5:$E$204,"&lt;&gt;Expired",$E$5:$E$204,"&lt;&gt;Check Duration")+COUNTIFS($A$5:A162,A162,$E$5:E162,"&lt;&gt;Expired",$E$5:E162,"&lt;&gt;Check Duration"))))</x:f>
      </x:c>
    </x:row>
    <x:row r="163">
      <x:c r="A163" s="21"/>
      <x:c r="B163" s="20"/>
      <x:c r="C163" s="19"/>
      <x:c r="D163" s="20" t="str">
        <x:f>IF(A163="","",IFERROR(B163+VLOOKUP(C163,Lists!$A$2:$B$101,2,FALSE),"Check duration"))</x:f>
      </x:c>
      <x:c r="E163" s="19" t="str">
        <x:f>IF(A163="","",IF(ISNUMBER(D163),IF(D163&lt;TODAY(),"Expired",IF(D163&lt;=TODAY()+7,"Expiring Soon","Active")),"Check Duration"))</x:f>
      </x:c>
      <x:c r="F163" s="19"/>
      <x:c r="G163" s="22"/>
      <x:c r="H163" s="22"/>
      <x:c r="I163" s="19"/>
      <x:c r="J163" s="19"/>
      <x:c r="K163" s="19" t="str">
        <x:f>IF(A163="","",IF(E163="Expired","",IF(E163="Check Duration","",COUNTIFS($A$5:$A$204,"&lt;"&amp;A163,$E$5:$E$204,"&lt;&gt;Expired",$E$5:$E$204,"&lt;&gt;Check Duration")+COUNTIFS($A$5:A163,A163,$E$5:E163,"&lt;&gt;Expired",$E$5:E163,"&lt;&gt;Check Duration"))))</x:f>
      </x:c>
    </x:row>
    <x:row r="164">
      <x:c r="A164" s="21"/>
      <x:c r="B164" s="20"/>
      <x:c r="C164" s="19"/>
      <x:c r="D164" s="20" t="str">
        <x:f>IF(A164="","",IFERROR(B164+VLOOKUP(C164,Lists!$A$2:$B$101,2,FALSE),"Check duration"))</x:f>
      </x:c>
      <x:c r="E164" s="19" t="str">
        <x:f>IF(A164="","",IF(ISNUMBER(D164),IF(D164&lt;TODAY(),"Expired",IF(D164&lt;=TODAY()+7,"Expiring Soon","Active")),"Check Duration"))</x:f>
      </x:c>
      <x:c r="F164" s="19"/>
      <x:c r="G164" s="22"/>
      <x:c r="H164" s="22"/>
      <x:c r="I164" s="19"/>
      <x:c r="J164" s="19"/>
      <x:c r="K164" s="19" t="str">
        <x:f>IF(A164="","",IF(E164="Expired","",IF(E164="Check Duration","",COUNTIFS($A$5:$A$204,"&lt;"&amp;A164,$E$5:$E$204,"&lt;&gt;Expired",$E$5:$E$204,"&lt;&gt;Check Duration")+COUNTIFS($A$5:A164,A164,$E$5:E164,"&lt;&gt;Expired",$E$5:E164,"&lt;&gt;Check Duration"))))</x:f>
      </x:c>
    </x:row>
    <x:row r="165">
      <x:c r="A165" s="21"/>
      <x:c r="B165" s="20"/>
      <x:c r="C165" s="19"/>
      <x:c r="D165" s="20" t="str">
        <x:f>IF(A165="","",IFERROR(B165+VLOOKUP(C165,Lists!$A$2:$B$101,2,FALSE),"Check duration"))</x:f>
      </x:c>
      <x:c r="E165" s="19" t="str">
        <x:f>IF(A165="","",IF(ISNUMBER(D165),IF(D165&lt;TODAY(),"Expired",IF(D165&lt;=TODAY()+7,"Expiring Soon","Active")),"Check Duration"))</x:f>
      </x:c>
      <x:c r="F165" s="19"/>
      <x:c r="G165" s="22"/>
      <x:c r="H165" s="22"/>
      <x:c r="I165" s="19"/>
      <x:c r="J165" s="19"/>
      <x:c r="K165" s="19" t="str">
        <x:f>IF(A165="","",IF(E165="Expired","",IF(E165="Check Duration","",COUNTIFS($A$5:$A$204,"&lt;"&amp;A165,$E$5:$E$204,"&lt;&gt;Expired",$E$5:$E$204,"&lt;&gt;Check Duration")+COUNTIFS($A$5:A165,A165,$E$5:E165,"&lt;&gt;Expired",$E$5:E165,"&lt;&gt;Check Duration"))))</x:f>
      </x:c>
    </x:row>
    <x:row r="166">
      <x:c r="A166" s="21"/>
      <x:c r="B166" s="20"/>
      <x:c r="C166" s="19"/>
      <x:c r="D166" s="20" t="str">
        <x:f>IF(A166="","",IFERROR(B166+VLOOKUP(C166,Lists!$A$2:$B$101,2,FALSE),"Check duration"))</x:f>
      </x:c>
      <x:c r="E166" s="19" t="str">
        <x:f>IF(A166="","",IF(ISNUMBER(D166),IF(D166&lt;TODAY(),"Expired",IF(D166&lt;=TODAY()+7,"Expiring Soon","Active")),"Check Duration"))</x:f>
      </x:c>
      <x:c r="F166" s="19"/>
      <x:c r="G166" s="22"/>
      <x:c r="H166" s="22"/>
      <x:c r="I166" s="19"/>
      <x:c r="J166" s="19"/>
      <x:c r="K166" s="19" t="str">
        <x:f>IF(A166="","",IF(E166="Expired","",IF(E166="Check Duration","",COUNTIFS($A$5:$A$204,"&lt;"&amp;A166,$E$5:$E$204,"&lt;&gt;Expired",$E$5:$E$204,"&lt;&gt;Check Duration")+COUNTIFS($A$5:A166,A166,$E$5:E166,"&lt;&gt;Expired",$E$5:E166,"&lt;&gt;Check Duration"))))</x:f>
      </x:c>
    </x:row>
    <x:row r="167">
      <x:c r="A167" s="21"/>
      <x:c r="B167" s="20"/>
      <x:c r="C167" s="19"/>
      <x:c r="D167" s="20" t="str">
        <x:f>IF(A167="","",IFERROR(B167+VLOOKUP(C167,Lists!$A$2:$B$101,2,FALSE),"Check duration"))</x:f>
      </x:c>
      <x:c r="E167" s="19" t="str">
        <x:f>IF(A167="","",IF(ISNUMBER(D167),IF(D167&lt;TODAY(),"Expired",IF(D167&lt;=TODAY()+7,"Expiring Soon","Active")),"Check Duration"))</x:f>
      </x:c>
      <x:c r="F167" s="19"/>
      <x:c r="G167" s="22"/>
      <x:c r="H167" s="22"/>
      <x:c r="I167" s="19"/>
      <x:c r="J167" s="19"/>
      <x:c r="K167" s="19" t="str">
        <x:f>IF(A167="","",IF(E167="Expired","",IF(E167="Check Duration","",COUNTIFS($A$5:$A$204,"&lt;"&amp;A167,$E$5:$E$204,"&lt;&gt;Expired",$E$5:$E$204,"&lt;&gt;Check Duration")+COUNTIFS($A$5:A167,A167,$E$5:E167,"&lt;&gt;Expired",$E$5:E167,"&lt;&gt;Check Duration"))))</x:f>
      </x:c>
    </x:row>
    <x:row r="168">
      <x:c r="A168" s="21"/>
      <x:c r="B168" s="20"/>
      <x:c r="C168" s="19"/>
      <x:c r="D168" s="20" t="str">
        <x:f>IF(A168="","",IFERROR(B168+VLOOKUP(C168,Lists!$A$2:$B$101,2,FALSE),"Check duration"))</x:f>
      </x:c>
      <x:c r="E168" s="19" t="str">
        <x:f>IF(A168="","",IF(ISNUMBER(D168),IF(D168&lt;TODAY(),"Expired",IF(D168&lt;=TODAY()+7,"Expiring Soon","Active")),"Check Duration"))</x:f>
      </x:c>
      <x:c r="F168" s="19"/>
      <x:c r="G168" s="22"/>
      <x:c r="H168" s="22"/>
      <x:c r="I168" s="19"/>
      <x:c r="J168" s="19"/>
      <x:c r="K168" s="19" t="str">
        <x:f>IF(A168="","",IF(E168="Expired","",IF(E168="Check Duration","",COUNTIFS($A$5:$A$204,"&lt;"&amp;A168,$E$5:$E$204,"&lt;&gt;Expired",$E$5:$E$204,"&lt;&gt;Check Duration")+COUNTIFS($A$5:A168,A168,$E$5:E168,"&lt;&gt;Expired",$E$5:E168,"&lt;&gt;Check Duration"))))</x:f>
      </x:c>
    </x:row>
    <x:row r="169">
      <x:c r="A169" s="21"/>
      <x:c r="B169" s="20"/>
      <x:c r="C169" s="19"/>
      <x:c r="D169" s="20" t="str">
        <x:f>IF(A169="","",IFERROR(B169+VLOOKUP(C169,Lists!$A$2:$B$101,2,FALSE),"Check duration"))</x:f>
      </x:c>
      <x:c r="E169" s="19" t="str">
        <x:f>IF(A169="","",IF(ISNUMBER(D169),IF(D169&lt;TODAY(),"Expired",IF(D169&lt;=TODAY()+7,"Expiring Soon","Active")),"Check Duration"))</x:f>
      </x:c>
      <x:c r="F169" s="19"/>
      <x:c r="G169" s="22"/>
      <x:c r="H169" s="22"/>
      <x:c r="I169" s="19"/>
      <x:c r="J169" s="19"/>
      <x:c r="K169" s="19" t="str">
        <x:f>IF(A169="","",IF(E169="Expired","",IF(E169="Check Duration","",COUNTIFS($A$5:$A$204,"&lt;"&amp;A169,$E$5:$E$204,"&lt;&gt;Expired",$E$5:$E$204,"&lt;&gt;Check Duration")+COUNTIFS($A$5:A169,A169,$E$5:E169,"&lt;&gt;Expired",$E$5:E169,"&lt;&gt;Check Duration"))))</x:f>
      </x:c>
    </x:row>
    <x:row r="170">
      <x:c r="A170" s="21"/>
      <x:c r="B170" s="20"/>
      <x:c r="C170" s="19"/>
      <x:c r="D170" s="20" t="str">
        <x:f>IF(A170="","",IFERROR(B170+VLOOKUP(C170,Lists!$A$2:$B$101,2,FALSE),"Check duration"))</x:f>
      </x:c>
      <x:c r="E170" s="19" t="str">
        <x:f>IF(A170="","",IF(ISNUMBER(D170),IF(D170&lt;TODAY(),"Expired",IF(D170&lt;=TODAY()+7,"Expiring Soon","Active")),"Check Duration"))</x:f>
      </x:c>
      <x:c r="F170" s="19"/>
      <x:c r="G170" s="22"/>
      <x:c r="H170" s="22"/>
      <x:c r="I170" s="19"/>
      <x:c r="J170" s="19"/>
      <x:c r="K170" s="19" t="str">
        <x:f>IF(A170="","",IF(E170="Expired","",IF(E170="Check Duration","",COUNTIFS($A$5:$A$204,"&lt;"&amp;A170,$E$5:$E$204,"&lt;&gt;Expired",$E$5:$E$204,"&lt;&gt;Check Duration")+COUNTIFS($A$5:A170,A170,$E$5:E170,"&lt;&gt;Expired",$E$5:E170,"&lt;&gt;Check Duration"))))</x:f>
      </x:c>
    </x:row>
    <x:row r="171">
      <x:c r="A171" s="21"/>
      <x:c r="B171" s="20"/>
      <x:c r="C171" s="19"/>
      <x:c r="D171" s="20" t="str">
        <x:f>IF(A171="","",IFERROR(B171+VLOOKUP(C171,Lists!$A$2:$B$101,2,FALSE),"Check duration"))</x:f>
      </x:c>
      <x:c r="E171" s="19" t="str">
        <x:f>IF(A171="","",IF(ISNUMBER(D171),IF(D171&lt;TODAY(),"Expired",IF(D171&lt;=TODAY()+7,"Expiring Soon","Active")),"Check Duration"))</x:f>
      </x:c>
      <x:c r="F171" s="19"/>
      <x:c r="G171" s="22"/>
      <x:c r="H171" s="22"/>
      <x:c r="I171" s="19"/>
      <x:c r="J171" s="19"/>
      <x:c r="K171" s="19" t="str">
        <x:f>IF(A171="","",IF(E171="Expired","",IF(E171="Check Duration","",COUNTIFS($A$5:$A$204,"&lt;"&amp;A171,$E$5:$E$204,"&lt;&gt;Expired",$E$5:$E$204,"&lt;&gt;Check Duration")+COUNTIFS($A$5:A171,A171,$E$5:E171,"&lt;&gt;Expired",$E$5:E171,"&lt;&gt;Check Duration"))))</x:f>
      </x:c>
    </x:row>
    <x:row r="172">
      <x:c r="A172" s="21"/>
      <x:c r="B172" s="20"/>
      <x:c r="C172" s="19"/>
      <x:c r="D172" s="20" t="str">
        <x:f>IF(A172="","",IFERROR(B172+VLOOKUP(C172,Lists!$A$2:$B$101,2,FALSE),"Check duration"))</x:f>
      </x:c>
      <x:c r="E172" s="19" t="str">
        <x:f>IF(A172="","",IF(ISNUMBER(D172),IF(D172&lt;TODAY(),"Expired",IF(D172&lt;=TODAY()+7,"Expiring Soon","Active")),"Check Duration"))</x:f>
      </x:c>
      <x:c r="F172" s="19"/>
      <x:c r="G172" s="22"/>
      <x:c r="H172" s="22"/>
      <x:c r="I172" s="19"/>
      <x:c r="J172" s="19"/>
      <x:c r="K172" s="19" t="str">
        <x:f>IF(A172="","",IF(E172="Expired","",IF(E172="Check Duration","",COUNTIFS($A$5:$A$204,"&lt;"&amp;A172,$E$5:$E$204,"&lt;&gt;Expired",$E$5:$E$204,"&lt;&gt;Check Duration")+COUNTIFS($A$5:A172,A172,$E$5:E172,"&lt;&gt;Expired",$E$5:E172,"&lt;&gt;Check Duration"))))</x:f>
      </x:c>
    </x:row>
    <x:row r="173">
      <x:c r="A173" s="21"/>
      <x:c r="B173" s="20"/>
      <x:c r="C173" s="19"/>
      <x:c r="D173" s="20" t="str">
        <x:f>IF(A173="","",IFERROR(B173+VLOOKUP(C173,Lists!$A$2:$B$101,2,FALSE),"Check duration"))</x:f>
      </x:c>
      <x:c r="E173" s="19" t="str">
        <x:f>IF(A173="","",IF(ISNUMBER(D173),IF(D173&lt;TODAY(),"Expired",IF(D173&lt;=TODAY()+7,"Expiring Soon","Active")),"Check Duration"))</x:f>
      </x:c>
      <x:c r="F173" s="19"/>
      <x:c r="G173" s="22"/>
      <x:c r="H173" s="22"/>
      <x:c r="I173" s="19"/>
      <x:c r="J173" s="19"/>
      <x:c r="K173" s="19" t="str">
        <x:f>IF(A173="","",IF(E173="Expired","",IF(E173="Check Duration","",COUNTIFS($A$5:$A$204,"&lt;"&amp;A173,$E$5:$E$204,"&lt;&gt;Expired",$E$5:$E$204,"&lt;&gt;Check Duration")+COUNTIFS($A$5:A173,A173,$E$5:E173,"&lt;&gt;Expired",$E$5:E173,"&lt;&gt;Check Duration"))))</x:f>
      </x:c>
    </x:row>
    <x:row r="174">
      <x:c r="A174" s="21"/>
      <x:c r="B174" s="20"/>
      <x:c r="C174" s="19"/>
      <x:c r="D174" s="20" t="str">
        <x:f>IF(A174="","",IFERROR(B174+VLOOKUP(C174,Lists!$A$2:$B$101,2,FALSE),"Check duration"))</x:f>
      </x:c>
      <x:c r="E174" s="19" t="str">
        <x:f>IF(A174="","",IF(ISNUMBER(D174),IF(D174&lt;TODAY(),"Expired",IF(D174&lt;=TODAY()+7,"Expiring Soon","Active")),"Check Duration"))</x:f>
      </x:c>
      <x:c r="F174" s="19"/>
      <x:c r="G174" s="22"/>
      <x:c r="H174" s="22"/>
      <x:c r="I174" s="19"/>
      <x:c r="J174" s="19"/>
      <x:c r="K174" s="19" t="str">
        <x:f>IF(A174="","",IF(E174="Expired","",IF(E174="Check Duration","",COUNTIFS($A$5:$A$204,"&lt;"&amp;A174,$E$5:$E$204,"&lt;&gt;Expired",$E$5:$E$204,"&lt;&gt;Check Duration")+COUNTIFS($A$5:A174,A174,$E$5:E174,"&lt;&gt;Expired",$E$5:E174,"&lt;&gt;Check Duration"))))</x:f>
      </x:c>
    </x:row>
    <x:row r="175">
      <x:c r="A175" s="21"/>
      <x:c r="B175" s="20"/>
      <x:c r="C175" s="19"/>
      <x:c r="D175" s="20" t="str">
        <x:f>IF(A175="","",IFERROR(B175+VLOOKUP(C175,Lists!$A$2:$B$101,2,FALSE),"Check duration"))</x:f>
      </x:c>
      <x:c r="E175" s="19" t="str">
        <x:f>IF(A175="","",IF(ISNUMBER(D175),IF(D175&lt;TODAY(),"Expired",IF(D175&lt;=TODAY()+7,"Expiring Soon","Active")),"Check Duration"))</x:f>
      </x:c>
      <x:c r="F175" s="19"/>
      <x:c r="G175" s="22"/>
      <x:c r="H175" s="22"/>
      <x:c r="I175" s="19"/>
      <x:c r="J175" s="19"/>
      <x:c r="K175" s="19" t="str">
        <x:f>IF(A175="","",IF(E175="Expired","",IF(E175="Check Duration","",COUNTIFS($A$5:$A$204,"&lt;"&amp;A175,$E$5:$E$204,"&lt;&gt;Expired",$E$5:$E$204,"&lt;&gt;Check Duration")+COUNTIFS($A$5:A175,A175,$E$5:E175,"&lt;&gt;Expired",$E$5:E175,"&lt;&gt;Check Duration"))))</x:f>
      </x:c>
    </x:row>
    <x:row r="176">
      <x:c r="A176" s="21"/>
      <x:c r="B176" s="20"/>
      <x:c r="C176" s="19"/>
      <x:c r="D176" s="20" t="str">
        <x:f>IF(A176="","",IFERROR(B176+VLOOKUP(C176,Lists!$A$2:$B$101,2,FALSE),"Check duration"))</x:f>
      </x:c>
      <x:c r="E176" s="19" t="str">
        <x:f>IF(A176="","",IF(ISNUMBER(D176),IF(D176&lt;TODAY(),"Expired",IF(D176&lt;=TODAY()+7,"Expiring Soon","Active")),"Check Duration"))</x:f>
      </x:c>
      <x:c r="F176" s="19"/>
      <x:c r="G176" s="22"/>
      <x:c r="H176" s="22"/>
      <x:c r="I176" s="19"/>
      <x:c r="J176" s="19"/>
      <x:c r="K176" s="19" t="str">
        <x:f>IF(A176="","",IF(E176="Expired","",IF(E176="Check Duration","",COUNTIFS($A$5:$A$204,"&lt;"&amp;A176,$E$5:$E$204,"&lt;&gt;Expired",$E$5:$E$204,"&lt;&gt;Check Duration")+COUNTIFS($A$5:A176,A176,$E$5:E176,"&lt;&gt;Expired",$E$5:E176,"&lt;&gt;Check Duration"))))</x:f>
      </x:c>
    </x:row>
    <x:row r="177">
      <x:c r="A177" s="21"/>
      <x:c r="B177" s="20"/>
      <x:c r="C177" s="19"/>
      <x:c r="D177" s="20" t="str">
        <x:f>IF(A177="","",IFERROR(B177+VLOOKUP(C177,Lists!$A$2:$B$101,2,FALSE),"Check duration"))</x:f>
      </x:c>
      <x:c r="E177" s="19" t="str">
        <x:f>IF(A177="","",IF(ISNUMBER(D177),IF(D177&lt;TODAY(),"Expired",IF(D177&lt;=TODAY()+7,"Expiring Soon","Active")),"Check Duration"))</x:f>
      </x:c>
      <x:c r="F177" s="19"/>
      <x:c r="G177" s="22"/>
      <x:c r="H177" s="22"/>
      <x:c r="I177" s="19"/>
      <x:c r="J177" s="19"/>
      <x:c r="K177" s="19" t="str">
        <x:f>IF(A177="","",IF(E177="Expired","",IF(E177="Check Duration","",COUNTIFS($A$5:$A$204,"&lt;"&amp;A177,$E$5:$E$204,"&lt;&gt;Expired",$E$5:$E$204,"&lt;&gt;Check Duration")+COUNTIFS($A$5:A177,A177,$E$5:E177,"&lt;&gt;Expired",$E$5:E177,"&lt;&gt;Check Duration"))))</x:f>
      </x:c>
    </x:row>
    <x:row r="178">
      <x:c r="A178" s="21"/>
      <x:c r="B178" s="20"/>
      <x:c r="C178" s="19"/>
      <x:c r="D178" s="20" t="str">
        <x:f>IF(A178="","",IFERROR(B178+VLOOKUP(C178,Lists!$A$2:$B$101,2,FALSE),"Check duration"))</x:f>
      </x:c>
      <x:c r="E178" s="19" t="str">
        <x:f>IF(A178="","",IF(ISNUMBER(D178),IF(D178&lt;TODAY(),"Expired",IF(D178&lt;=TODAY()+7,"Expiring Soon","Active")),"Check Duration"))</x:f>
      </x:c>
      <x:c r="F178" s="19"/>
      <x:c r="G178" s="22"/>
      <x:c r="H178" s="22"/>
      <x:c r="I178" s="19"/>
      <x:c r="J178" s="19"/>
      <x:c r="K178" s="19" t="str">
        <x:f>IF(A178="","",IF(E178="Expired","",IF(E178="Check Duration","",COUNTIFS($A$5:$A$204,"&lt;"&amp;A178,$E$5:$E$204,"&lt;&gt;Expired",$E$5:$E$204,"&lt;&gt;Check Duration")+COUNTIFS($A$5:A178,A178,$E$5:E178,"&lt;&gt;Expired",$E$5:E178,"&lt;&gt;Check Duration"))))</x:f>
      </x:c>
    </x:row>
    <x:row r="179">
      <x:c r="A179" s="21"/>
      <x:c r="B179" s="20"/>
      <x:c r="C179" s="19"/>
      <x:c r="D179" s="20" t="str">
        <x:f>IF(A179="","",IFERROR(B179+VLOOKUP(C179,Lists!$A$2:$B$101,2,FALSE),"Check duration"))</x:f>
      </x:c>
      <x:c r="E179" s="19" t="str">
        <x:f>IF(A179="","",IF(ISNUMBER(D179),IF(D179&lt;TODAY(),"Expired",IF(D179&lt;=TODAY()+7,"Expiring Soon","Active")),"Check Duration"))</x:f>
      </x:c>
      <x:c r="F179" s="19"/>
      <x:c r="G179" s="22"/>
      <x:c r="H179" s="22"/>
      <x:c r="I179" s="19"/>
      <x:c r="J179" s="19"/>
      <x:c r="K179" s="19" t="str">
        <x:f>IF(A179="","",IF(E179="Expired","",IF(E179="Check Duration","",COUNTIFS($A$5:$A$204,"&lt;"&amp;A179,$E$5:$E$204,"&lt;&gt;Expired",$E$5:$E$204,"&lt;&gt;Check Duration")+COUNTIFS($A$5:A179,A179,$E$5:E179,"&lt;&gt;Expired",$E$5:E179,"&lt;&gt;Check Duration"))))</x:f>
      </x:c>
    </x:row>
    <x:row r="180">
      <x:c r="A180" s="21"/>
      <x:c r="B180" s="20"/>
      <x:c r="C180" s="19"/>
      <x:c r="D180" s="20" t="str">
        <x:f>IF(A180="","",IFERROR(B180+VLOOKUP(C180,Lists!$A$2:$B$101,2,FALSE),"Check duration"))</x:f>
      </x:c>
      <x:c r="E180" s="19" t="str">
        <x:f>IF(A180="","",IF(ISNUMBER(D180),IF(D180&lt;TODAY(),"Expired",IF(D180&lt;=TODAY()+7,"Expiring Soon","Active")),"Check Duration"))</x:f>
      </x:c>
      <x:c r="F180" s="19"/>
      <x:c r="G180" s="22"/>
      <x:c r="H180" s="22"/>
      <x:c r="I180" s="19"/>
      <x:c r="J180" s="19"/>
      <x:c r="K180" s="19" t="str">
        <x:f>IF(A180="","",IF(E180="Expired","",IF(E180="Check Duration","",COUNTIFS($A$5:$A$204,"&lt;"&amp;A180,$E$5:$E$204,"&lt;&gt;Expired",$E$5:$E$204,"&lt;&gt;Check Duration")+COUNTIFS($A$5:A180,A180,$E$5:E180,"&lt;&gt;Expired",$E$5:E180,"&lt;&gt;Check Duration"))))</x:f>
      </x:c>
    </x:row>
    <x:row r="181">
      <x:c r="A181" s="21"/>
      <x:c r="B181" s="20"/>
      <x:c r="C181" s="19"/>
      <x:c r="D181" s="20" t="str">
        <x:f>IF(A181="","",IFERROR(B181+VLOOKUP(C181,Lists!$A$2:$B$101,2,FALSE),"Check duration"))</x:f>
      </x:c>
      <x:c r="E181" s="19" t="str">
        <x:f>IF(A181="","",IF(ISNUMBER(D181),IF(D181&lt;TODAY(),"Expired",IF(D181&lt;=TODAY()+7,"Expiring Soon","Active")),"Check Duration"))</x:f>
      </x:c>
      <x:c r="F181" s="19"/>
      <x:c r="G181" s="22"/>
      <x:c r="H181" s="22"/>
      <x:c r="I181" s="19"/>
      <x:c r="J181" s="19"/>
      <x:c r="K181" s="19" t="str">
        <x:f>IF(A181="","",IF(E181="Expired","",IF(E181="Check Duration","",COUNTIFS($A$5:$A$204,"&lt;"&amp;A181,$E$5:$E$204,"&lt;&gt;Expired",$E$5:$E$204,"&lt;&gt;Check Duration")+COUNTIFS($A$5:A181,A181,$E$5:E181,"&lt;&gt;Expired",$E$5:E181,"&lt;&gt;Check Duration"))))</x:f>
      </x:c>
    </x:row>
    <x:row r="182">
      <x:c r="A182" s="21"/>
      <x:c r="B182" s="20"/>
      <x:c r="C182" s="19"/>
      <x:c r="D182" s="20" t="str">
        <x:f>IF(A182="","",IFERROR(B182+VLOOKUP(C182,Lists!$A$2:$B$101,2,FALSE),"Check duration"))</x:f>
      </x:c>
      <x:c r="E182" s="19" t="str">
        <x:f>IF(A182="","",IF(ISNUMBER(D182),IF(D182&lt;TODAY(),"Expired",IF(D182&lt;=TODAY()+7,"Expiring Soon","Active")),"Check Duration"))</x:f>
      </x:c>
      <x:c r="F182" s="19"/>
      <x:c r="G182" s="22"/>
      <x:c r="H182" s="22"/>
      <x:c r="I182" s="19"/>
      <x:c r="J182" s="19"/>
      <x:c r="K182" s="19" t="str">
        <x:f>IF(A182="","",IF(E182="Expired","",IF(E182="Check Duration","",COUNTIFS($A$5:$A$204,"&lt;"&amp;A182,$E$5:$E$204,"&lt;&gt;Expired",$E$5:$E$204,"&lt;&gt;Check Duration")+COUNTIFS($A$5:A182,A182,$E$5:E182,"&lt;&gt;Expired",$E$5:E182,"&lt;&gt;Check Duration"))))</x:f>
      </x:c>
    </x:row>
    <x:row r="183">
      <x:c r="A183" s="21"/>
      <x:c r="B183" s="20"/>
      <x:c r="C183" s="19"/>
      <x:c r="D183" s="20" t="str">
        <x:f>IF(A183="","",IFERROR(B183+VLOOKUP(C183,Lists!$A$2:$B$101,2,FALSE),"Check duration"))</x:f>
      </x:c>
      <x:c r="E183" s="19" t="str">
        <x:f>IF(A183="","",IF(ISNUMBER(D183),IF(D183&lt;TODAY(),"Expired",IF(D183&lt;=TODAY()+7,"Expiring Soon","Active")),"Check Duration"))</x:f>
      </x:c>
      <x:c r="F183" s="19"/>
      <x:c r="G183" s="22"/>
      <x:c r="H183" s="22"/>
      <x:c r="I183" s="19"/>
      <x:c r="J183" s="19"/>
      <x:c r="K183" s="19" t="str">
        <x:f>IF(A183="","",IF(E183="Expired","",IF(E183="Check Duration","",COUNTIFS($A$5:$A$204,"&lt;"&amp;A183,$E$5:$E$204,"&lt;&gt;Expired",$E$5:$E$204,"&lt;&gt;Check Duration")+COUNTIFS($A$5:A183,A183,$E$5:E183,"&lt;&gt;Expired",$E$5:E183,"&lt;&gt;Check Duration"))))</x:f>
      </x:c>
    </x:row>
    <x:row r="184">
      <x:c r="A184" s="21"/>
      <x:c r="B184" s="20"/>
      <x:c r="C184" s="19"/>
      <x:c r="D184" s="20" t="str">
        <x:f>IF(A184="","",IFERROR(B184+VLOOKUP(C184,Lists!$A$2:$B$101,2,FALSE),"Check duration"))</x:f>
      </x:c>
      <x:c r="E184" s="19" t="str">
        <x:f>IF(A184="","",IF(ISNUMBER(D184),IF(D184&lt;TODAY(),"Expired",IF(D184&lt;=TODAY()+7,"Expiring Soon","Active")),"Check Duration"))</x:f>
      </x:c>
      <x:c r="F184" s="19"/>
      <x:c r="G184" s="22"/>
      <x:c r="H184" s="22"/>
      <x:c r="I184" s="19"/>
      <x:c r="J184" s="19"/>
      <x:c r="K184" s="19" t="str">
        <x:f>IF(A184="","",IF(E184="Expired","",IF(E184="Check Duration","",COUNTIFS($A$5:$A$204,"&lt;"&amp;A184,$E$5:$E$204,"&lt;&gt;Expired",$E$5:$E$204,"&lt;&gt;Check Duration")+COUNTIFS($A$5:A184,A184,$E$5:E184,"&lt;&gt;Expired",$E$5:E184,"&lt;&gt;Check Duration"))))</x:f>
      </x:c>
    </x:row>
    <x:row r="185">
      <x:c r="A185" s="21"/>
      <x:c r="B185" s="20"/>
      <x:c r="C185" s="19"/>
      <x:c r="D185" s="20" t="str">
        <x:f>IF(A185="","",IFERROR(B185+VLOOKUP(C185,Lists!$A$2:$B$101,2,FALSE),"Check duration"))</x:f>
      </x:c>
      <x:c r="E185" s="19" t="str">
        <x:f>IF(A185="","",IF(ISNUMBER(D185),IF(D185&lt;TODAY(),"Expired",IF(D185&lt;=TODAY()+7,"Expiring Soon","Active")),"Check Duration"))</x:f>
      </x:c>
      <x:c r="F185" s="19"/>
      <x:c r="G185" s="22"/>
      <x:c r="H185" s="22"/>
      <x:c r="I185" s="19"/>
      <x:c r="J185" s="19"/>
      <x:c r="K185" s="19" t="str">
        <x:f>IF(A185="","",IF(E185="Expired","",IF(E185="Check Duration","",COUNTIFS($A$5:$A$204,"&lt;"&amp;A185,$E$5:$E$204,"&lt;&gt;Expired",$E$5:$E$204,"&lt;&gt;Check Duration")+COUNTIFS($A$5:A185,A185,$E$5:E185,"&lt;&gt;Expired",$E$5:E185,"&lt;&gt;Check Duration"))))</x:f>
      </x:c>
    </x:row>
    <x:row r="186">
      <x:c r="A186" s="21"/>
      <x:c r="B186" s="20"/>
      <x:c r="C186" s="19"/>
      <x:c r="D186" s="20" t="str">
        <x:f>IF(A186="","",IFERROR(B186+VLOOKUP(C186,Lists!$A$2:$B$101,2,FALSE),"Check duration"))</x:f>
      </x:c>
      <x:c r="E186" s="19" t="str">
        <x:f>IF(A186="","",IF(ISNUMBER(D186),IF(D186&lt;TODAY(),"Expired",IF(D186&lt;=TODAY()+7,"Expiring Soon","Active")),"Check Duration"))</x:f>
      </x:c>
      <x:c r="F186" s="19"/>
      <x:c r="G186" s="22"/>
      <x:c r="H186" s="22"/>
      <x:c r="I186" s="19"/>
      <x:c r="J186" s="19"/>
      <x:c r="K186" s="19" t="str">
        <x:f>IF(A186="","",IF(E186="Expired","",IF(E186="Check Duration","",COUNTIFS($A$5:$A$204,"&lt;"&amp;A186,$E$5:$E$204,"&lt;&gt;Expired",$E$5:$E$204,"&lt;&gt;Check Duration")+COUNTIFS($A$5:A186,A186,$E$5:E186,"&lt;&gt;Expired",$E$5:E186,"&lt;&gt;Check Duration"))))</x:f>
      </x:c>
    </x:row>
    <x:row r="187">
      <x:c r="A187" s="21"/>
      <x:c r="B187" s="20"/>
      <x:c r="C187" s="19"/>
      <x:c r="D187" s="20" t="str">
        <x:f>IF(A187="","",IFERROR(B187+VLOOKUP(C187,Lists!$A$2:$B$101,2,FALSE),"Check duration"))</x:f>
      </x:c>
      <x:c r="E187" s="19" t="str">
        <x:f>IF(A187="","",IF(ISNUMBER(D187),IF(D187&lt;TODAY(),"Expired",IF(D187&lt;=TODAY()+7,"Expiring Soon","Active")),"Check Duration"))</x:f>
      </x:c>
      <x:c r="F187" s="19"/>
      <x:c r="G187" s="22"/>
      <x:c r="H187" s="22"/>
      <x:c r="I187" s="19"/>
      <x:c r="J187" s="19"/>
      <x:c r="K187" s="19" t="str">
        <x:f>IF(A187="","",IF(E187="Expired","",IF(E187="Check Duration","",COUNTIFS($A$5:$A$204,"&lt;"&amp;A187,$E$5:$E$204,"&lt;&gt;Expired",$E$5:$E$204,"&lt;&gt;Check Duration")+COUNTIFS($A$5:A187,A187,$E$5:E187,"&lt;&gt;Expired",$E$5:E187,"&lt;&gt;Check Duration"))))</x:f>
      </x:c>
    </x:row>
    <x:row r="188">
      <x:c r="A188" s="21"/>
      <x:c r="B188" s="20"/>
      <x:c r="C188" s="19"/>
      <x:c r="D188" s="20" t="str">
        <x:f>IF(A188="","",IFERROR(B188+VLOOKUP(C188,Lists!$A$2:$B$101,2,FALSE),"Check duration"))</x:f>
      </x:c>
      <x:c r="E188" s="19" t="str">
        <x:f>IF(A188="","",IF(ISNUMBER(D188),IF(D188&lt;TODAY(),"Expired",IF(D188&lt;=TODAY()+7,"Expiring Soon","Active")),"Check Duration"))</x:f>
      </x:c>
      <x:c r="F188" s="19"/>
      <x:c r="G188" s="22"/>
      <x:c r="H188" s="22"/>
      <x:c r="I188" s="19"/>
      <x:c r="J188" s="19"/>
      <x:c r="K188" s="19" t="str">
        <x:f>IF(A188="","",IF(E188="Expired","",IF(E188="Check Duration","",COUNTIFS($A$5:$A$204,"&lt;"&amp;A188,$E$5:$E$204,"&lt;&gt;Expired",$E$5:$E$204,"&lt;&gt;Check Duration")+COUNTIFS($A$5:A188,A188,$E$5:E188,"&lt;&gt;Expired",$E$5:E188,"&lt;&gt;Check Duration"))))</x:f>
      </x:c>
    </x:row>
    <x:row r="189">
      <x:c r="A189" s="21"/>
      <x:c r="B189" s="20"/>
      <x:c r="C189" s="19"/>
      <x:c r="D189" s="20" t="str">
        <x:f>IF(A189="","",IFERROR(B189+VLOOKUP(C189,Lists!$A$2:$B$101,2,FALSE),"Check duration"))</x:f>
      </x:c>
      <x:c r="E189" s="19" t="str">
        <x:f>IF(A189="","",IF(ISNUMBER(D189),IF(D189&lt;TODAY(),"Expired",IF(D189&lt;=TODAY()+7,"Expiring Soon","Active")),"Check Duration"))</x:f>
      </x:c>
      <x:c r="F189" s="19"/>
      <x:c r="G189" s="22"/>
      <x:c r="H189" s="22"/>
      <x:c r="I189" s="19"/>
      <x:c r="J189" s="19"/>
      <x:c r="K189" s="19" t="str">
        <x:f>IF(A189="","",IF(E189="Expired","",IF(E189="Check Duration","",COUNTIFS($A$5:$A$204,"&lt;"&amp;A189,$E$5:$E$204,"&lt;&gt;Expired",$E$5:$E$204,"&lt;&gt;Check Duration")+COUNTIFS($A$5:A189,A189,$E$5:E189,"&lt;&gt;Expired",$E$5:E189,"&lt;&gt;Check Duration"))))</x:f>
      </x:c>
    </x:row>
    <x:row r="190">
      <x:c r="A190" s="21"/>
      <x:c r="B190" s="20"/>
      <x:c r="C190" s="19"/>
      <x:c r="D190" s="20" t="str">
        <x:f>IF(A190="","",IFERROR(B190+VLOOKUP(C190,Lists!$A$2:$B$101,2,FALSE),"Check duration"))</x:f>
      </x:c>
      <x:c r="E190" s="19" t="str">
        <x:f>IF(A190="","",IF(ISNUMBER(D190),IF(D190&lt;TODAY(),"Expired",IF(D190&lt;=TODAY()+7,"Expiring Soon","Active")),"Check Duration"))</x:f>
      </x:c>
      <x:c r="F190" s="19"/>
      <x:c r="G190" s="22"/>
      <x:c r="H190" s="22"/>
      <x:c r="I190" s="19"/>
      <x:c r="J190" s="19"/>
      <x:c r="K190" s="19" t="str">
        <x:f>IF(A190="","",IF(E190="Expired","",IF(E190="Check Duration","",COUNTIFS($A$5:$A$204,"&lt;"&amp;A190,$E$5:$E$204,"&lt;&gt;Expired",$E$5:$E$204,"&lt;&gt;Check Duration")+COUNTIFS($A$5:A190,A190,$E$5:E190,"&lt;&gt;Expired",$E$5:E190,"&lt;&gt;Check Duration"))))</x:f>
      </x:c>
    </x:row>
    <x:row r="191">
      <x:c r="A191" s="21"/>
      <x:c r="B191" s="20"/>
      <x:c r="C191" s="19"/>
      <x:c r="D191" s="20" t="str">
        <x:f>IF(A191="","",IFERROR(B191+VLOOKUP(C191,Lists!$A$2:$B$101,2,FALSE),"Check duration"))</x:f>
      </x:c>
      <x:c r="E191" s="19" t="str">
        <x:f>IF(A191="","",IF(ISNUMBER(D191),IF(D191&lt;TODAY(),"Expired",IF(D191&lt;=TODAY()+7,"Expiring Soon","Active")),"Check Duration"))</x:f>
      </x:c>
      <x:c r="F191" s="19"/>
      <x:c r="G191" s="22"/>
      <x:c r="H191" s="22"/>
      <x:c r="I191" s="19"/>
      <x:c r="J191" s="19"/>
      <x:c r="K191" s="19" t="str">
        <x:f>IF(A191="","",IF(E191="Expired","",IF(E191="Check Duration","",COUNTIFS($A$5:$A$204,"&lt;"&amp;A191,$E$5:$E$204,"&lt;&gt;Expired",$E$5:$E$204,"&lt;&gt;Check Duration")+COUNTIFS($A$5:A191,A191,$E$5:E191,"&lt;&gt;Expired",$E$5:E191,"&lt;&gt;Check Duration"))))</x:f>
      </x:c>
    </x:row>
    <x:row r="192">
      <x:c r="A192" s="21"/>
      <x:c r="B192" s="20"/>
      <x:c r="C192" s="19"/>
      <x:c r="D192" s="20" t="str">
        <x:f>IF(A192="","",IFERROR(B192+VLOOKUP(C192,Lists!$A$2:$B$101,2,FALSE),"Check duration"))</x:f>
      </x:c>
      <x:c r="E192" s="19" t="str">
        <x:f>IF(A192="","",IF(ISNUMBER(D192),IF(D192&lt;TODAY(),"Expired",IF(D192&lt;=TODAY()+7,"Expiring Soon","Active")),"Check Duration"))</x:f>
      </x:c>
      <x:c r="F192" s="19"/>
      <x:c r="G192" s="22"/>
      <x:c r="H192" s="22"/>
      <x:c r="I192" s="19"/>
      <x:c r="J192" s="19"/>
      <x:c r="K192" s="19" t="str">
        <x:f>IF(A192="","",IF(E192="Expired","",IF(E192="Check Duration","",COUNTIFS($A$5:$A$204,"&lt;"&amp;A192,$E$5:$E$204,"&lt;&gt;Expired",$E$5:$E$204,"&lt;&gt;Check Duration")+COUNTIFS($A$5:A192,A192,$E$5:E192,"&lt;&gt;Expired",$E$5:E192,"&lt;&gt;Check Duration"))))</x:f>
      </x:c>
    </x:row>
    <x:row r="193">
      <x:c r="A193" s="21"/>
      <x:c r="B193" s="20"/>
      <x:c r="C193" s="19"/>
      <x:c r="D193" s="20" t="str">
        <x:f>IF(A193="","",IFERROR(B193+VLOOKUP(C193,Lists!$A$2:$B$101,2,FALSE),"Check duration"))</x:f>
      </x:c>
      <x:c r="E193" s="19" t="str">
        <x:f>IF(A193="","",IF(ISNUMBER(D193),IF(D193&lt;TODAY(),"Expired",IF(D193&lt;=TODAY()+7,"Expiring Soon","Active")),"Check Duration"))</x:f>
      </x:c>
      <x:c r="F193" s="19"/>
      <x:c r="G193" s="22"/>
      <x:c r="H193" s="22"/>
      <x:c r="I193" s="19"/>
      <x:c r="J193" s="19"/>
      <x:c r="K193" s="19" t="str">
        <x:f>IF(A193="","",IF(E193="Expired","",IF(E193="Check Duration","",COUNTIFS($A$5:$A$204,"&lt;"&amp;A193,$E$5:$E$204,"&lt;&gt;Expired",$E$5:$E$204,"&lt;&gt;Check Duration")+COUNTIFS($A$5:A193,A193,$E$5:E193,"&lt;&gt;Expired",$E$5:E193,"&lt;&gt;Check Duration"))))</x:f>
      </x:c>
    </x:row>
    <x:row r="194">
      <x:c r="A194" s="21"/>
      <x:c r="B194" s="20"/>
      <x:c r="C194" s="19"/>
      <x:c r="D194" s="20" t="str">
        <x:f>IF(A194="","",IFERROR(B194+VLOOKUP(C194,Lists!$A$2:$B$101,2,FALSE),"Check duration"))</x:f>
      </x:c>
      <x:c r="E194" s="19" t="str">
        <x:f>IF(A194="","",IF(ISNUMBER(D194),IF(D194&lt;TODAY(),"Expired",IF(D194&lt;=TODAY()+7,"Expiring Soon","Active")),"Check Duration"))</x:f>
      </x:c>
      <x:c r="F194" s="19"/>
      <x:c r="G194" s="22"/>
      <x:c r="H194" s="22"/>
      <x:c r="I194" s="19"/>
      <x:c r="J194" s="19"/>
      <x:c r="K194" s="19" t="str">
        <x:f>IF(A194="","",IF(E194="Expired","",IF(E194="Check Duration","",COUNTIFS($A$5:$A$204,"&lt;"&amp;A194,$E$5:$E$204,"&lt;&gt;Expired",$E$5:$E$204,"&lt;&gt;Check Duration")+COUNTIFS($A$5:A194,A194,$E$5:E194,"&lt;&gt;Expired",$E$5:E194,"&lt;&gt;Check Duration"))))</x:f>
      </x:c>
    </x:row>
    <x:row r="195">
      <x:c r="A195" s="21"/>
      <x:c r="B195" s="20"/>
      <x:c r="C195" s="19"/>
      <x:c r="D195" s="20" t="str">
        <x:f>IF(A195="","",IFERROR(B195+VLOOKUP(C195,Lists!$A$2:$B$101,2,FALSE),"Check duration"))</x:f>
      </x:c>
      <x:c r="E195" s="19" t="str">
        <x:f>IF(A195="","",IF(ISNUMBER(D195),IF(D195&lt;TODAY(),"Expired",IF(D195&lt;=TODAY()+7,"Expiring Soon","Active")),"Check Duration"))</x:f>
      </x:c>
      <x:c r="F195" s="19"/>
      <x:c r="G195" s="22"/>
      <x:c r="H195" s="22"/>
      <x:c r="I195" s="19"/>
      <x:c r="J195" s="19"/>
      <x:c r="K195" s="19" t="str">
        <x:f>IF(A195="","",IF(E195="Expired","",IF(E195="Check Duration","",COUNTIFS($A$5:$A$204,"&lt;"&amp;A195,$E$5:$E$204,"&lt;&gt;Expired",$E$5:$E$204,"&lt;&gt;Check Duration")+COUNTIFS($A$5:A195,A195,$E$5:E195,"&lt;&gt;Expired",$E$5:E195,"&lt;&gt;Check Duration"))))</x:f>
      </x:c>
    </x:row>
    <x:row r="196">
      <x:c r="A196" s="21"/>
      <x:c r="B196" s="20"/>
      <x:c r="C196" s="19"/>
      <x:c r="D196" s="20" t="str">
        <x:f>IF(A196="","",IFERROR(B196+VLOOKUP(C196,Lists!$A$2:$B$101,2,FALSE),"Check duration"))</x:f>
      </x:c>
      <x:c r="E196" s="19" t="str">
        <x:f>IF(A196="","",IF(ISNUMBER(D196),IF(D196&lt;TODAY(),"Expired",IF(D196&lt;=TODAY()+7,"Expiring Soon","Active")),"Check Duration"))</x:f>
      </x:c>
      <x:c r="F196" s="19"/>
      <x:c r="G196" s="22"/>
      <x:c r="H196" s="22"/>
      <x:c r="I196" s="19"/>
      <x:c r="J196" s="19"/>
      <x:c r="K196" s="19" t="str">
        <x:f>IF(A196="","",IF(E196="Expired","",IF(E196="Check Duration","",COUNTIFS($A$5:$A$204,"&lt;"&amp;A196,$E$5:$E$204,"&lt;&gt;Expired",$E$5:$E$204,"&lt;&gt;Check Duration")+COUNTIFS($A$5:A196,A196,$E$5:E196,"&lt;&gt;Expired",$E$5:E196,"&lt;&gt;Check Duration"))))</x:f>
      </x:c>
    </x:row>
    <x:row r="197">
      <x:c r="A197" s="21"/>
      <x:c r="B197" s="20"/>
      <x:c r="C197" s="19"/>
      <x:c r="D197" s="20" t="str">
        <x:f>IF(A197="","",IFERROR(B197+VLOOKUP(C197,Lists!$A$2:$B$101,2,FALSE),"Check duration"))</x:f>
      </x:c>
      <x:c r="E197" s="19" t="str">
        <x:f>IF(A197="","",IF(ISNUMBER(D197),IF(D197&lt;TODAY(),"Expired",IF(D197&lt;=TODAY()+7,"Expiring Soon","Active")),"Check Duration"))</x:f>
      </x:c>
      <x:c r="F197" s="19"/>
      <x:c r="G197" s="22"/>
      <x:c r="H197" s="22"/>
      <x:c r="I197" s="19"/>
      <x:c r="J197" s="19"/>
      <x:c r="K197" s="19" t="str">
        <x:f>IF(A197="","",IF(E197="Expired","",IF(E197="Check Duration","",COUNTIFS($A$5:$A$204,"&lt;"&amp;A197,$E$5:$E$204,"&lt;&gt;Expired",$E$5:$E$204,"&lt;&gt;Check Duration")+COUNTIFS($A$5:A197,A197,$E$5:E197,"&lt;&gt;Expired",$E$5:E197,"&lt;&gt;Check Duration"))))</x:f>
      </x:c>
    </x:row>
    <x:row r="198">
      <x:c r="A198" s="21"/>
      <x:c r="B198" s="20"/>
      <x:c r="C198" s="19"/>
      <x:c r="D198" s="20" t="str">
        <x:f>IF(A198="","",IFERROR(B198+VLOOKUP(C198,Lists!$A$2:$B$101,2,FALSE),"Check duration"))</x:f>
      </x:c>
      <x:c r="E198" s="19" t="str">
        <x:f>IF(A198="","",IF(ISNUMBER(D198),IF(D198&lt;TODAY(),"Expired",IF(D198&lt;=TODAY()+7,"Expiring Soon","Active")),"Check Duration"))</x:f>
      </x:c>
      <x:c r="F198" s="19"/>
      <x:c r="G198" s="22"/>
      <x:c r="H198" s="22"/>
      <x:c r="I198" s="19"/>
      <x:c r="J198" s="19"/>
      <x:c r="K198" s="19" t="str">
        <x:f>IF(A198="","",IF(E198="Expired","",IF(E198="Check Duration","",COUNTIFS($A$5:$A$204,"&lt;"&amp;A198,$E$5:$E$204,"&lt;&gt;Expired",$E$5:$E$204,"&lt;&gt;Check Duration")+COUNTIFS($A$5:A198,A198,$E$5:E198,"&lt;&gt;Expired",$E$5:E198,"&lt;&gt;Check Duration"))))</x:f>
      </x:c>
    </x:row>
    <x:row r="199">
      <x:c r="A199" s="21"/>
      <x:c r="B199" s="20"/>
      <x:c r="C199" s="19"/>
      <x:c r="D199" s="20" t="str">
        <x:f>IF(A199="","",IFERROR(B199+VLOOKUP(C199,Lists!$A$2:$B$101,2,FALSE),"Check duration"))</x:f>
      </x:c>
      <x:c r="E199" s="19" t="str">
        <x:f>IF(A199="","",IF(ISNUMBER(D199),IF(D199&lt;TODAY(),"Expired",IF(D199&lt;=TODAY()+7,"Expiring Soon","Active")),"Check Duration"))</x:f>
      </x:c>
      <x:c r="F199" s="19"/>
      <x:c r="G199" s="22"/>
      <x:c r="H199" s="22"/>
      <x:c r="I199" s="19"/>
      <x:c r="J199" s="19"/>
      <x:c r="K199" s="19" t="str">
        <x:f>IF(A199="","",IF(E199="Expired","",IF(E199="Check Duration","",COUNTIFS($A$5:$A$204,"&lt;"&amp;A199,$E$5:$E$204,"&lt;&gt;Expired",$E$5:$E$204,"&lt;&gt;Check Duration")+COUNTIFS($A$5:A199,A199,$E$5:E199,"&lt;&gt;Expired",$E$5:E199,"&lt;&gt;Check Duration"))))</x:f>
      </x:c>
    </x:row>
    <x:row r="200">
      <x:c r="A200" s="21"/>
      <x:c r="B200" s="20"/>
      <x:c r="C200" s="19"/>
      <x:c r="D200" s="20" t="str">
        <x:f>IF(A200="","",IFERROR(B200+VLOOKUP(C200,Lists!$A$2:$B$101,2,FALSE),"Check duration"))</x:f>
      </x:c>
      <x:c r="E200" s="19" t="str">
        <x:f>IF(A200="","",IF(ISNUMBER(D200),IF(D200&lt;TODAY(),"Expired",IF(D200&lt;=TODAY()+7,"Expiring Soon","Active")),"Check Duration"))</x:f>
      </x:c>
      <x:c r="F200" s="19"/>
      <x:c r="G200" s="22"/>
      <x:c r="H200" s="22"/>
      <x:c r="I200" s="19"/>
      <x:c r="J200" s="19"/>
      <x:c r="K200" s="19" t="str">
        <x:f>IF(A200="","",IF(E200="Expired","",IF(E200="Check Duration","",COUNTIFS($A$5:$A$204,"&lt;"&amp;A200,$E$5:$E$204,"&lt;&gt;Expired",$E$5:$E$204,"&lt;&gt;Check Duration")+COUNTIFS($A$5:A200,A200,$E$5:E200,"&lt;&gt;Expired",$E$5:E200,"&lt;&gt;Check Duration"))))</x:f>
      </x:c>
    </x:row>
    <x:row r="201">
      <x:c r="A201" s="21"/>
      <x:c r="B201" s="20"/>
      <x:c r="C201" s="19"/>
      <x:c r="D201" s="20" t="str">
        <x:f>IF(A201="","",IFERROR(B201+VLOOKUP(C201,Lists!$A$2:$B$101,2,FALSE),"Check duration"))</x:f>
      </x:c>
      <x:c r="E201" s="19" t="str">
        <x:f>IF(A201="","",IF(ISNUMBER(D201),IF(D201&lt;TODAY(),"Expired",IF(D201&lt;=TODAY()+7,"Expiring Soon","Active")),"Check Duration"))</x:f>
      </x:c>
      <x:c r="F201" s="19"/>
      <x:c r="G201" s="22"/>
      <x:c r="H201" s="22"/>
      <x:c r="I201" s="19"/>
      <x:c r="J201" s="19"/>
      <x:c r="K201" s="19" t="str">
        <x:f>IF(A201="","",IF(E201="Expired","",IF(E201="Check Duration","",COUNTIFS($A$5:$A$204,"&lt;"&amp;A201,$E$5:$E$204,"&lt;&gt;Expired",$E$5:$E$204,"&lt;&gt;Check Duration")+COUNTIFS($A$5:A201,A201,$E$5:E201,"&lt;&gt;Expired",$E$5:E201,"&lt;&gt;Check Duration"))))</x:f>
      </x:c>
    </x:row>
    <x:row r="202">
      <x:c r="A202" s="21"/>
      <x:c r="B202" s="20"/>
      <x:c r="C202" s="19"/>
      <x:c r="D202" s="20" t="str">
        <x:f>IF(A202="","",IFERROR(B202+VLOOKUP(C202,Lists!$A$2:$B$101,2,FALSE),"Check duration"))</x:f>
      </x:c>
      <x:c r="E202" s="19" t="str">
        <x:f>IF(A202="","",IF(ISNUMBER(D202),IF(D202&lt;TODAY(),"Expired",IF(D202&lt;=TODAY()+7,"Expiring Soon","Active")),"Check Duration"))</x:f>
      </x:c>
      <x:c r="F202" s="19"/>
      <x:c r="G202" s="22"/>
      <x:c r="H202" s="22"/>
      <x:c r="I202" s="19"/>
      <x:c r="J202" s="19"/>
      <x:c r="K202" s="19" t="str">
        <x:f>IF(A202="","",IF(E202="Expired","",IF(E202="Check Duration","",COUNTIFS($A$5:$A$204,"&lt;"&amp;A202,$E$5:$E$204,"&lt;&gt;Expired",$E$5:$E$204,"&lt;&gt;Check Duration")+COUNTIFS($A$5:A202,A202,$E$5:E202,"&lt;&gt;Expired",$E$5:E202,"&lt;&gt;Check Duration"))))</x:f>
      </x:c>
    </x:row>
    <x:row r="203">
      <x:c r="A203" s="21"/>
      <x:c r="B203" s="20"/>
      <x:c r="C203" s="19"/>
      <x:c r="D203" s="20" t="str">
        <x:f>IF(A203="","",IFERROR(B203+VLOOKUP(C203,Lists!$A$2:$B$101,2,FALSE),"Check duration"))</x:f>
      </x:c>
      <x:c r="E203" s="19" t="str">
        <x:f>IF(A203="","",IF(ISNUMBER(D203),IF(D203&lt;TODAY(),"Expired",IF(D203&lt;=TODAY()+7,"Expiring Soon","Active")),"Check Duration"))</x:f>
      </x:c>
      <x:c r="F203" s="19"/>
      <x:c r="G203" s="22"/>
      <x:c r="H203" s="22"/>
      <x:c r="I203" s="19"/>
      <x:c r="J203" s="19"/>
      <x:c r="K203" s="19" t="str">
        <x:f>IF(A203="","",IF(E203="Expired","",IF(E203="Check Duration","",COUNTIFS($A$5:$A$204,"&lt;"&amp;A203,$E$5:$E$204,"&lt;&gt;Expired",$E$5:$E$204,"&lt;&gt;Check Duration")+COUNTIFS($A$5:A203,A203,$E$5:E203,"&lt;&gt;Expired",$E$5:E203,"&lt;&gt;Check Duration"))))</x:f>
      </x:c>
    </x:row>
    <x:row r="204">
      <x:c r="A204" s="21"/>
      <x:c r="B204" s="20"/>
      <x:c r="C204" s="19"/>
      <x:c r="D204" s="20" t="str">
        <x:f>IF(A204="","",IFERROR(B204+VLOOKUP(C204,Lists!$A$2:$B$101,2,FALSE),"Check duration"))</x:f>
      </x:c>
      <x:c r="E204" s="19" t="str">
        <x:f>IF(A204="","",IF(ISNUMBER(D204),IF(D204&lt;TODAY(),"Expired",IF(D204&lt;=TODAY()+7,"Expiring Soon","Active")),"Check Duration"))</x:f>
      </x:c>
      <x:c r="F204" s="19"/>
      <x:c r="G204" s="22"/>
      <x:c r="H204" s="22"/>
      <x:c r="I204" s="19"/>
      <x:c r="J204" s="19"/>
      <x:c r="K204" s="19" t="str">
        <x:f>IF(A204="","",IF(E204="Expired","",IF(E204="Check Duration","",COUNTIFS($A$5:$A$204,"&lt;"&amp;A204,$E$5:$E$204,"&lt;&gt;Expired",$E$5:$E$204,"&lt;&gt;Check Duration")+COUNTIFS($A$5:A204,A204,$E$5:E204,"&lt;&gt;Expired",$E$5:E204,"&lt;&gt;Check Duration"))))</x:f>
      </x:c>
    </x:row>
  </x:sheetData>
  <x:mergeCells>
    <x:mergeCell ref="A1:K1"/>
    <x:mergeCell ref="A2:K2"/>
    <x:mergeCell ref="M4:O4"/>
  </x:mergeCells>
  <x:conditionalFormatting sqref="E5:E204">
    <x:cfRule type="containsText" dxfId="0" priority="1" operator="containsText" text="Active"/>
    <x:cfRule type="containsText" dxfId="1" priority="2" operator="containsText" text="Expiring Soon"/>
    <x:cfRule type="containsText" dxfId="2" priority="3" operator="containsText" text="Expired"/>
    <x:cfRule type="containsText" dxfId="3" priority="4" operator="containsText" text="Check Duration"/>
  </x:conditionalFormatting>
  <x:dataValidations count="4">
    <x:dataValidation type="list" sqref="C5:C204">
      <x:formula1>Lists!$A$2:$A$101</x:formula1>
    </x:dataValidation>
    <x:dataValidation type="list" sqref="F5:F204">
      <x:formula1>Lists!$D$2:$D$101</x:formula1>
    </x:dataValidation>
    <x:dataValidation type="list" sqref="G5:G204">
      <x:formula1>Lists!$E$2:$E$101</x:formula1>
    </x:dataValidation>
    <x:dataValidation type="list" sqref="J5:J204">
      <x:formula1>Lists!$F$2:$F$101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4" hidden="0" customWidth="1"/>
    <x:col min="3" max="3" width="14" hidden="0" customWidth="1"/>
    <x:col min="4" max="4" width="32.5" hidden="0" customWidth="1"/>
    <x:col min="5" max="5" width="14" hidden="0" customWidth="1"/>
    <x:col min="6" max="6" width="14" hidden="0" customWidth="1"/>
    <x:col min="7" max="7" width="32.5" hidden="0" customWidth="1"/>
  </x:cols>
  <x:sheetData>
    <x:row r="1">
      <x:c r="A1" s="4" t="str">
        <x:v>Plugin Export</x:v>
      </x:c>
      <x:c r="B1" s="4" t="str">
        <x:v>Plugin Export</x:v>
      </x:c>
      <x:c r="C1" s="4" t="str">
        <x:v>Plugin Export</x:v>
      </x:c>
      <x:c r="D1" s="4" t="str">
        <x:v>Plugin Export</x:v>
      </x:c>
      <x:c r="E1" s="4" t="str">
        <x:v>Plugin Export</x:v>
      </x:c>
      <x:c r="F1" s="4" t="str">
        <x:v>Plugin Export</x:v>
      </x:c>
      <x:c r="G1" s="4" t="str">
        <x:v>Plugin Export</x:v>
      </x:c>
      <x:c r="H1" s="32"/>
      <x:c r="I1" s="32"/>
      <x:c r="J1" s="32"/>
      <x:c r="K1" s="32"/>
      <x:c r="L1" s="32"/>
      <x:c r="M1" s="32"/>
      <x:c r="N1" s="32"/>
      <x:c r="O1" s="32"/>
    </x:row>
    <x:row r="2">
      <x:c r="A2" s="9" t="str">
        <x:v>Publish this tab as CSV. Column A is the character name; columns C-G are recommended plugin info columns.</x:v>
      </x:c>
      <x:c r="B2" s="9" t="str">
        <x:v>Publish this tab as CSV. Column A is the character name; columns C-G are recommended plugin info columns.</x:v>
      </x:c>
      <x:c r="C2" s="9" t="str">
        <x:v>Publish this tab as CSV. Column A is the character name; columns C-G are recommended plugin info columns.</x:v>
      </x:c>
      <x:c r="D2" s="9" t="str">
        <x:v>Publish this tab as CSV. Column A is the character name; columns C-G are recommended plugin info columns.</x:v>
      </x:c>
      <x:c r="E2" s="9" t="str">
        <x:v>Publish this tab as CSV. Column A is the character name; columns C-G are recommended plugin info columns.</x:v>
      </x:c>
      <x:c r="F2" s="9" t="str">
        <x:v>Publish this tab as CSV. Column A is the character name; columns C-G are recommended plugin info columns.</x:v>
      </x:c>
      <x:c r="G2" s="9" t="str">
        <x:v>Publish this tab as CSV. Column A is the character name; columns C-G are recommended plugin info columns.</x:v>
      </x:c>
    </x:row>
    <x:row r="4">
      <x:c r="A4" s="15" t="str">
        <x:v>Character Name</x:v>
      </x:c>
      <x:c r="B4" s="15" t="str">
        <x:v>Expiration Date</x:v>
      </x:c>
      <x:c r="C4" s="15" t="str">
        <x:v>VIP Type</x:v>
      </x:c>
      <x:c r="D4" s="15" t="str">
        <x:v>Benefits Available</x:v>
      </x:c>
      <x:c r="E4" s="15" t="str">
        <x:v>Duration</x:v>
      </x:c>
      <x:c r="F4" s="15" t="str">
        <x:v>Status</x:v>
      </x:c>
      <x:c r="G4" s="15" t="str">
        <x:v>Notes</x:v>
      </x:c>
    </x:row>
    <x:row r="5">
      <x:c r="A5" s="19" t="str">
        <x:f>IFERROR(INDEX('VIP Signups'!A$5:A$204,MATCH(ROWS($A$5:A5),'VIP Signups'!$K$5:$K$204,0)),"")</x:f>
      </x:c>
      <x:c r="B5" s="20" t="n">
        <x:f>IFERROR(INDEX('VIP Signups'!D$5:D$204,MATCH(ROWS($A$5:A5),'VIP Signups'!$K$5:$K$204,0)),"")</x:f>
        <x:v>46204</x:v>
      </x:c>
      <x:c r="C5" s="19" t="str">
        <x:f>IFERROR(INDEX('VIP Signups'!F$5:F$204,MATCH(ROWS($A$5:A5),'VIP Signups'!$K$5:$K$204,0)),"")</x:f>
        <x:v>Gold</x:v>
      </x:c>
      <x:c r="D5" s="19" t="str">
        <x:f>IFERROR(INDEX('VIP Signups'!G$5:G$204,MATCH(ROWS($A$5:A5),'VIP Signups'!$K$5:$K$204,0)),"")</x:f>
        <x:v>Queue Priority; Photo Slot; Gamba Token</x:v>
      </x:c>
      <x:c r="E5" s="19" t="str">
        <x:f>IFERROR(INDEX('VIP Signups'!C$5:C$204,MATCH(ROWS($A$5:A5),'VIP Signups'!$K$5:$K$204,0)),"")</x:f>
        <x:v>30 Days</x:v>
      </x:c>
      <x:c r="F5" s="19" t="str">
        <x:f>IFERROR(INDEX('VIP Signups'!E$5:E$204,MATCH(ROWS($A$5:A5),'VIP Signups'!$K$5:$K$204,0)),"")</x:f>
        <x:v>Active</x:v>
      </x:c>
      <x:c r="G5" s="19" t="str">
        <x:f>IFERROR(INDEX('VIP Signups'!H$5:H$204,MATCH(ROWS($A$5:A5),'VIP Signups'!$K$5:$K$204,0)),"")</x:f>
        <x:v>Renewal reminder one week before expiry.</x:v>
      </x:c>
    </x:row>
    <x:row r="6">
      <x:c r="A6" s="19" t="str">
        <x:f>IFERROR(INDEX('VIP Signups'!A$5:A$204,MATCH(ROWS($A$5:A6),'VIP Signups'!$K$5:$K$204,0)),"")</x:f>
      </x:c>
      <x:c r="B6" s="20" t="n">
        <x:f>IFERROR(INDEX('VIP Signups'!D$5:D$204,MATCH(ROWS($A$5:A6),'VIP Signups'!$K$5:$K$204,0)),"")</x:f>
        <x:v>46189</x:v>
      </x:c>
      <x:c r="C6" s="19" t="str">
        <x:f>IFERROR(INDEX('VIP Signups'!F$5:F$204,MATCH(ROWS($A$5:A6),'VIP Signups'!$K$5:$K$204,0)),"")</x:f>
        <x:v>Event</x:v>
      </x:c>
      <x:c r="D6" s="19" t="str">
        <x:f>IFERROR(INDEX('VIP Signups'!G$5:G$204,MATCH(ROWS($A$5:A6),'VIP Signups'!$K$5:$K$204,0)),"")</x:f>
        <x:v>Event Access; Photo Slot</x:v>
      </x:c>
      <x:c r="E6" s="19" t="str">
        <x:f>IFERROR(INDEX('VIP Signups'!C$5:C$204,MATCH(ROWS($A$5:A6),'VIP Signups'!$K$5:$K$204,0)),"")</x:f>
        <x:v>Event Only</x:v>
      </x:c>
      <x:c r="F6" s="19" t="str">
        <x:f>IFERROR(INDEX('VIP Signups'!E$5:E$204,MATCH(ROWS($A$5:A6),'VIP Signups'!$K$5:$K$204,0)),"")</x:f>
        <x:v>Expiring Soon</x:v>
      </x:c>
      <x:c r="G6" s="19" t="str">
        <x:f>IFERROR(INDEX('VIP Signups'!H$5:H$204,MATCH(ROWS($A$5:A6),'VIP Signups'!$K$5:$K$204,0)),"")</x:f>
        <x:v>One-night venue pass.</x:v>
      </x:c>
    </x:row>
    <x:row r="7">
      <x:c r="A7" s="19" t="str">
        <x:f>IFERROR(INDEX('VIP Signups'!A$5:A$204,MATCH(ROWS($A$5:A7),'VIP Signups'!$K$5:$K$204,0)),"")</x:f>
      </x:c>
      <x:c r="B7" s="20" t="str">
        <x:f>IFERROR(INDEX('VIP Signups'!D$5:D$204,MATCH(ROWS($A$5:A7),'VIP Signups'!$K$5:$K$204,0)),"")</x:f>
      </x:c>
      <x:c r="C7" s="19" t="str">
        <x:f>IFERROR(INDEX('VIP Signups'!F$5:F$204,MATCH(ROWS($A$5:A7),'VIP Signups'!$K$5:$K$204,0)),"")</x:f>
      </x:c>
      <x:c r="D7" s="19" t="str">
        <x:f>IFERROR(INDEX('VIP Signups'!G$5:G$204,MATCH(ROWS($A$5:A7),'VIP Signups'!$K$5:$K$204,0)),"")</x:f>
      </x:c>
      <x:c r="E7" s="19" t="str">
        <x:f>IFERROR(INDEX('VIP Signups'!C$5:C$204,MATCH(ROWS($A$5:A7),'VIP Signups'!$K$5:$K$204,0)),"")</x:f>
      </x:c>
      <x:c r="F7" s="19" t="str">
        <x:f>IFERROR(INDEX('VIP Signups'!E$5:E$204,MATCH(ROWS($A$5:A7),'VIP Signups'!$K$5:$K$204,0)),"")</x:f>
      </x:c>
      <x:c r="G7" s="19" t="str">
        <x:f>IFERROR(INDEX('VIP Signups'!H$5:H$204,MATCH(ROWS($A$5:A7),'VIP Signups'!$K$5:$K$204,0)),"")</x:f>
      </x:c>
    </x:row>
    <x:row r="8">
      <x:c r="A8" s="19" t="str">
        <x:f>IFERROR(INDEX('VIP Signups'!A$5:A$204,MATCH(ROWS($A$5:A8),'VIP Signups'!$K$5:$K$204,0)),"")</x:f>
      </x:c>
      <x:c r="B8" s="20" t="str">
        <x:f>IFERROR(INDEX('VIP Signups'!D$5:D$204,MATCH(ROWS($A$5:A8),'VIP Signups'!$K$5:$K$204,0)),"")</x:f>
      </x:c>
      <x:c r="C8" s="19" t="str">
        <x:f>IFERROR(INDEX('VIP Signups'!F$5:F$204,MATCH(ROWS($A$5:A8),'VIP Signups'!$K$5:$K$204,0)),"")</x:f>
      </x:c>
      <x:c r="D8" s="19" t="str">
        <x:f>IFERROR(INDEX('VIP Signups'!G$5:G$204,MATCH(ROWS($A$5:A8),'VIP Signups'!$K$5:$K$204,0)),"")</x:f>
      </x:c>
      <x:c r="E8" s="19" t="str">
        <x:f>IFERROR(INDEX('VIP Signups'!C$5:C$204,MATCH(ROWS($A$5:A8),'VIP Signups'!$K$5:$K$204,0)),"")</x:f>
      </x:c>
      <x:c r="F8" s="19" t="str">
        <x:f>IFERROR(INDEX('VIP Signups'!E$5:E$204,MATCH(ROWS($A$5:A8),'VIP Signups'!$K$5:$K$204,0)),"")</x:f>
      </x:c>
      <x:c r="G8" s="19" t="str">
        <x:f>IFERROR(INDEX('VIP Signups'!H$5:H$204,MATCH(ROWS($A$5:A8),'VIP Signups'!$K$5:$K$204,0)),"")</x:f>
      </x:c>
    </x:row>
    <x:row r="9">
      <x:c r="A9" s="19" t="str">
        <x:f>IFERROR(INDEX('VIP Signups'!A$5:A$204,MATCH(ROWS($A$5:A9),'VIP Signups'!$K$5:$K$204,0)),"")</x:f>
      </x:c>
      <x:c r="B9" s="20" t="str">
        <x:f>IFERROR(INDEX('VIP Signups'!D$5:D$204,MATCH(ROWS($A$5:A9),'VIP Signups'!$K$5:$K$204,0)),"")</x:f>
      </x:c>
      <x:c r="C9" s="19" t="str">
        <x:f>IFERROR(INDEX('VIP Signups'!F$5:F$204,MATCH(ROWS($A$5:A9),'VIP Signups'!$K$5:$K$204,0)),"")</x:f>
      </x:c>
      <x:c r="D9" s="19" t="str">
        <x:f>IFERROR(INDEX('VIP Signups'!G$5:G$204,MATCH(ROWS($A$5:A9),'VIP Signups'!$K$5:$K$204,0)),"")</x:f>
      </x:c>
      <x:c r="E9" s="19" t="str">
        <x:f>IFERROR(INDEX('VIP Signups'!C$5:C$204,MATCH(ROWS($A$5:A9),'VIP Signups'!$K$5:$K$204,0)),"")</x:f>
      </x:c>
      <x:c r="F9" s="19" t="str">
        <x:f>IFERROR(INDEX('VIP Signups'!E$5:E$204,MATCH(ROWS($A$5:A9),'VIP Signups'!$K$5:$K$204,0)),"")</x:f>
      </x:c>
      <x:c r="G9" s="19" t="str">
        <x:f>IFERROR(INDEX('VIP Signups'!H$5:H$204,MATCH(ROWS($A$5:A9),'VIP Signups'!$K$5:$K$204,0)),"")</x:f>
      </x:c>
    </x:row>
    <x:row r="10">
      <x:c r="A10" s="19" t="str">
        <x:f>IFERROR(INDEX('VIP Signups'!A$5:A$204,MATCH(ROWS($A$5:A10),'VIP Signups'!$K$5:$K$204,0)),"")</x:f>
      </x:c>
      <x:c r="B10" s="20" t="str">
        <x:f>IFERROR(INDEX('VIP Signups'!D$5:D$204,MATCH(ROWS($A$5:A10),'VIP Signups'!$K$5:$K$204,0)),"")</x:f>
      </x:c>
      <x:c r="C10" s="19" t="str">
        <x:f>IFERROR(INDEX('VIP Signups'!F$5:F$204,MATCH(ROWS($A$5:A10),'VIP Signups'!$K$5:$K$204,0)),"")</x:f>
      </x:c>
      <x:c r="D10" s="19" t="str">
        <x:f>IFERROR(INDEX('VIP Signups'!G$5:G$204,MATCH(ROWS($A$5:A10),'VIP Signups'!$K$5:$K$204,0)),"")</x:f>
      </x:c>
      <x:c r="E10" s="19" t="str">
        <x:f>IFERROR(INDEX('VIP Signups'!C$5:C$204,MATCH(ROWS($A$5:A10),'VIP Signups'!$K$5:$K$204,0)),"")</x:f>
      </x:c>
      <x:c r="F10" s="19" t="str">
        <x:f>IFERROR(INDEX('VIP Signups'!E$5:E$204,MATCH(ROWS($A$5:A10),'VIP Signups'!$K$5:$K$204,0)),"")</x:f>
      </x:c>
      <x:c r="G10" s="19" t="str">
        <x:f>IFERROR(INDEX('VIP Signups'!H$5:H$204,MATCH(ROWS($A$5:A10),'VIP Signups'!$K$5:$K$204,0)),"")</x:f>
      </x:c>
    </x:row>
    <x:row r="11">
      <x:c r="A11" s="19" t="str">
        <x:f>IFERROR(INDEX('VIP Signups'!A$5:A$204,MATCH(ROWS($A$5:A11),'VIP Signups'!$K$5:$K$204,0)),"")</x:f>
      </x:c>
      <x:c r="B11" s="20" t="str">
        <x:f>IFERROR(INDEX('VIP Signups'!D$5:D$204,MATCH(ROWS($A$5:A11),'VIP Signups'!$K$5:$K$204,0)),"")</x:f>
      </x:c>
      <x:c r="C11" s="19" t="str">
        <x:f>IFERROR(INDEX('VIP Signups'!F$5:F$204,MATCH(ROWS($A$5:A11),'VIP Signups'!$K$5:$K$204,0)),"")</x:f>
      </x:c>
      <x:c r="D11" s="19" t="str">
        <x:f>IFERROR(INDEX('VIP Signups'!G$5:G$204,MATCH(ROWS($A$5:A11),'VIP Signups'!$K$5:$K$204,0)),"")</x:f>
      </x:c>
      <x:c r="E11" s="19" t="str">
        <x:f>IFERROR(INDEX('VIP Signups'!C$5:C$204,MATCH(ROWS($A$5:A11),'VIP Signups'!$K$5:$K$204,0)),"")</x:f>
      </x:c>
      <x:c r="F11" s="19" t="str">
        <x:f>IFERROR(INDEX('VIP Signups'!E$5:E$204,MATCH(ROWS($A$5:A11),'VIP Signups'!$K$5:$K$204,0)),"")</x:f>
      </x:c>
      <x:c r="G11" s="19" t="str">
        <x:f>IFERROR(INDEX('VIP Signups'!H$5:H$204,MATCH(ROWS($A$5:A11),'VIP Signups'!$K$5:$K$204,0)),"")</x:f>
      </x:c>
    </x:row>
    <x:row r="12">
      <x:c r="A12" s="19" t="str">
        <x:f>IFERROR(INDEX('VIP Signups'!A$5:A$204,MATCH(ROWS($A$5:A12),'VIP Signups'!$K$5:$K$204,0)),"")</x:f>
      </x:c>
      <x:c r="B12" s="20" t="str">
        <x:f>IFERROR(INDEX('VIP Signups'!D$5:D$204,MATCH(ROWS($A$5:A12),'VIP Signups'!$K$5:$K$204,0)),"")</x:f>
      </x:c>
      <x:c r="C12" s="19" t="str">
        <x:f>IFERROR(INDEX('VIP Signups'!F$5:F$204,MATCH(ROWS($A$5:A12),'VIP Signups'!$K$5:$K$204,0)),"")</x:f>
      </x:c>
      <x:c r="D12" s="19" t="str">
        <x:f>IFERROR(INDEX('VIP Signups'!G$5:G$204,MATCH(ROWS($A$5:A12),'VIP Signups'!$K$5:$K$204,0)),"")</x:f>
      </x:c>
      <x:c r="E12" s="19" t="str">
        <x:f>IFERROR(INDEX('VIP Signups'!C$5:C$204,MATCH(ROWS($A$5:A12),'VIP Signups'!$K$5:$K$204,0)),"")</x:f>
      </x:c>
      <x:c r="F12" s="19" t="str">
        <x:f>IFERROR(INDEX('VIP Signups'!E$5:E$204,MATCH(ROWS($A$5:A12),'VIP Signups'!$K$5:$K$204,0)),"")</x:f>
      </x:c>
      <x:c r="G12" s="19" t="str">
        <x:f>IFERROR(INDEX('VIP Signups'!H$5:H$204,MATCH(ROWS($A$5:A12),'VIP Signups'!$K$5:$K$204,0)),"")</x:f>
      </x:c>
    </x:row>
    <x:row r="13">
      <x:c r="A13" s="19" t="str">
        <x:f>IFERROR(INDEX('VIP Signups'!A$5:A$204,MATCH(ROWS($A$5:A13),'VIP Signups'!$K$5:$K$204,0)),"")</x:f>
      </x:c>
      <x:c r="B13" s="20" t="str">
        <x:f>IFERROR(INDEX('VIP Signups'!D$5:D$204,MATCH(ROWS($A$5:A13),'VIP Signups'!$K$5:$K$204,0)),"")</x:f>
      </x:c>
      <x:c r="C13" s="19" t="str">
        <x:f>IFERROR(INDEX('VIP Signups'!F$5:F$204,MATCH(ROWS($A$5:A13),'VIP Signups'!$K$5:$K$204,0)),"")</x:f>
      </x:c>
      <x:c r="D13" s="19" t="str">
        <x:f>IFERROR(INDEX('VIP Signups'!G$5:G$204,MATCH(ROWS($A$5:A13),'VIP Signups'!$K$5:$K$204,0)),"")</x:f>
      </x:c>
      <x:c r="E13" s="19" t="str">
        <x:f>IFERROR(INDEX('VIP Signups'!C$5:C$204,MATCH(ROWS($A$5:A13),'VIP Signups'!$K$5:$K$204,0)),"")</x:f>
      </x:c>
      <x:c r="F13" s="19" t="str">
        <x:f>IFERROR(INDEX('VIP Signups'!E$5:E$204,MATCH(ROWS($A$5:A13),'VIP Signups'!$K$5:$K$204,0)),"")</x:f>
      </x:c>
      <x:c r="G13" s="19" t="str">
        <x:f>IFERROR(INDEX('VIP Signups'!H$5:H$204,MATCH(ROWS($A$5:A13),'VIP Signups'!$K$5:$K$204,0)),"")</x:f>
      </x:c>
    </x:row>
    <x:row r="14">
      <x:c r="A14" s="19" t="str">
        <x:f>IFERROR(INDEX('VIP Signups'!A$5:A$204,MATCH(ROWS($A$5:A14),'VIP Signups'!$K$5:$K$204,0)),"")</x:f>
      </x:c>
      <x:c r="B14" s="20" t="str">
        <x:f>IFERROR(INDEX('VIP Signups'!D$5:D$204,MATCH(ROWS($A$5:A14),'VIP Signups'!$K$5:$K$204,0)),"")</x:f>
      </x:c>
      <x:c r="C14" s="19" t="str">
        <x:f>IFERROR(INDEX('VIP Signups'!F$5:F$204,MATCH(ROWS($A$5:A14),'VIP Signups'!$K$5:$K$204,0)),"")</x:f>
      </x:c>
      <x:c r="D14" s="19" t="str">
        <x:f>IFERROR(INDEX('VIP Signups'!G$5:G$204,MATCH(ROWS($A$5:A14),'VIP Signups'!$K$5:$K$204,0)),"")</x:f>
      </x:c>
      <x:c r="E14" s="19" t="str">
        <x:f>IFERROR(INDEX('VIP Signups'!C$5:C$204,MATCH(ROWS($A$5:A14),'VIP Signups'!$K$5:$K$204,0)),"")</x:f>
      </x:c>
      <x:c r="F14" s="19" t="str">
        <x:f>IFERROR(INDEX('VIP Signups'!E$5:E$204,MATCH(ROWS($A$5:A14),'VIP Signups'!$K$5:$K$204,0)),"")</x:f>
      </x:c>
      <x:c r="G14" s="19" t="str">
        <x:f>IFERROR(INDEX('VIP Signups'!H$5:H$204,MATCH(ROWS($A$5:A14),'VIP Signups'!$K$5:$K$204,0)),"")</x:f>
      </x:c>
    </x:row>
    <x:row r="15">
      <x:c r="A15" s="19" t="str">
        <x:f>IFERROR(INDEX('VIP Signups'!A$5:A$204,MATCH(ROWS($A$5:A15),'VIP Signups'!$K$5:$K$204,0)),"")</x:f>
      </x:c>
      <x:c r="B15" s="20" t="str">
        <x:f>IFERROR(INDEX('VIP Signups'!D$5:D$204,MATCH(ROWS($A$5:A15),'VIP Signups'!$K$5:$K$204,0)),"")</x:f>
      </x:c>
      <x:c r="C15" s="19" t="str">
        <x:f>IFERROR(INDEX('VIP Signups'!F$5:F$204,MATCH(ROWS($A$5:A15),'VIP Signups'!$K$5:$K$204,0)),"")</x:f>
      </x:c>
      <x:c r="D15" s="19" t="str">
        <x:f>IFERROR(INDEX('VIP Signups'!G$5:G$204,MATCH(ROWS($A$5:A15),'VIP Signups'!$K$5:$K$204,0)),"")</x:f>
      </x:c>
      <x:c r="E15" s="19" t="str">
        <x:f>IFERROR(INDEX('VIP Signups'!C$5:C$204,MATCH(ROWS($A$5:A15),'VIP Signups'!$K$5:$K$204,0)),"")</x:f>
      </x:c>
      <x:c r="F15" s="19" t="str">
        <x:f>IFERROR(INDEX('VIP Signups'!E$5:E$204,MATCH(ROWS($A$5:A15),'VIP Signups'!$K$5:$K$204,0)),"")</x:f>
      </x:c>
      <x:c r="G15" s="19" t="str">
        <x:f>IFERROR(INDEX('VIP Signups'!H$5:H$204,MATCH(ROWS($A$5:A15),'VIP Signups'!$K$5:$K$204,0)),"")</x:f>
      </x:c>
    </x:row>
    <x:row r="16">
      <x:c r="A16" s="19" t="str">
        <x:f>IFERROR(INDEX('VIP Signups'!A$5:A$204,MATCH(ROWS($A$5:A16),'VIP Signups'!$K$5:$K$204,0)),"")</x:f>
      </x:c>
      <x:c r="B16" s="20" t="str">
        <x:f>IFERROR(INDEX('VIP Signups'!D$5:D$204,MATCH(ROWS($A$5:A16),'VIP Signups'!$K$5:$K$204,0)),"")</x:f>
      </x:c>
      <x:c r="C16" s="19" t="str">
        <x:f>IFERROR(INDEX('VIP Signups'!F$5:F$204,MATCH(ROWS($A$5:A16),'VIP Signups'!$K$5:$K$204,0)),"")</x:f>
      </x:c>
      <x:c r="D16" s="19" t="str">
        <x:f>IFERROR(INDEX('VIP Signups'!G$5:G$204,MATCH(ROWS($A$5:A16),'VIP Signups'!$K$5:$K$204,0)),"")</x:f>
      </x:c>
      <x:c r="E16" s="19" t="str">
        <x:f>IFERROR(INDEX('VIP Signups'!C$5:C$204,MATCH(ROWS($A$5:A16),'VIP Signups'!$K$5:$K$204,0)),"")</x:f>
      </x:c>
      <x:c r="F16" s="19" t="str">
        <x:f>IFERROR(INDEX('VIP Signups'!E$5:E$204,MATCH(ROWS($A$5:A16),'VIP Signups'!$K$5:$K$204,0)),"")</x:f>
      </x:c>
      <x:c r="G16" s="19" t="str">
        <x:f>IFERROR(INDEX('VIP Signups'!H$5:H$204,MATCH(ROWS($A$5:A16),'VIP Signups'!$K$5:$K$204,0)),"")</x:f>
      </x:c>
    </x:row>
    <x:row r="17">
      <x:c r="A17" s="19" t="str">
        <x:f>IFERROR(INDEX('VIP Signups'!A$5:A$204,MATCH(ROWS($A$5:A17),'VIP Signups'!$K$5:$K$204,0)),"")</x:f>
      </x:c>
      <x:c r="B17" s="20" t="str">
        <x:f>IFERROR(INDEX('VIP Signups'!D$5:D$204,MATCH(ROWS($A$5:A17),'VIP Signups'!$K$5:$K$204,0)),"")</x:f>
      </x:c>
      <x:c r="C17" s="19" t="str">
        <x:f>IFERROR(INDEX('VIP Signups'!F$5:F$204,MATCH(ROWS($A$5:A17),'VIP Signups'!$K$5:$K$204,0)),"")</x:f>
      </x:c>
      <x:c r="D17" s="19" t="str">
        <x:f>IFERROR(INDEX('VIP Signups'!G$5:G$204,MATCH(ROWS($A$5:A17),'VIP Signups'!$K$5:$K$204,0)),"")</x:f>
      </x:c>
      <x:c r="E17" s="19" t="str">
        <x:f>IFERROR(INDEX('VIP Signups'!C$5:C$204,MATCH(ROWS($A$5:A17),'VIP Signups'!$K$5:$K$204,0)),"")</x:f>
      </x:c>
      <x:c r="F17" s="19" t="str">
        <x:f>IFERROR(INDEX('VIP Signups'!E$5:E$204,MATCH(ROWS($A$5:A17),'VIP Signups'!$K$5:$K$204,0)),"")</x:f>
      </x:c>
      <x:c r="G17" s="19" t="str">
        <x:f>IFERROR(INDEX('VIP Signups'!H$5:H$204,MATCH(ROWS($A$5:A17),'VIP Signups'!$K$5:$K$204,0)),"")</x:f>
      </x:c>
    </x:row>
    <x:row r="18">
      <x:c r="A18" s="19" t="str">
        <x:f>IFERROR(INDEX('VIP Signups'!A$5:A$204,MATCH(ROWS($A$5:A18),'VIP Signups'!$K$5:$K$204,0)),"")</x:f>
      </x:c>
      <x:c r="B18" s="20" t="str">
        <x:f>IFERROR(INDEX('VIP Signups'!D$5:D$204,MATCH(ROWS($A$5:A18),'VIP Signups'!$K$5:$K$204,0)),"")</x:f>
      </x:c>
      <x:c r="C18" s="19" t="str">
        <x:f>IFERROR(INDEX('VIP Signups'!F$5:F$204,MATCH(ROWS($A$5:A18),'VIP Signups'!$K$5:$K$204,0)),"")</x:f>
      </x:c>
      <x:c r="D18" s="19" t="str">
        <x:f>IFERROR(INDEX('VIP Signups'!G$5:G$204,MATCH(ROWS($A$5:A18),'VIP Signups'!$K$5:$K$204,0)),"")</x:f>
      </x:c>
      <x:c r="E18" s="19" t="str">
        <x:f>IFERROR(INDEX('VIP Signups'!C$5:C$204,MATCH(ROWS($A$5:A18),'VIP Signups'!$K$5:$K$204,0)),"")</x:f>
      </x:c>
      <x:c r="F18" s="19" t="str">
        <x:f>IFERROR(INDEX('VIP Signups'!E$5:E$204,MATCH(ROWS($A$5:A18),'VIP Signups'!$K$5:$K$204,0)),"")</x:f>
      </x:c>
      <x:c r="G18" s="19" t="str">
        <x:f>IFERROR(INDEX('VIP Signups'!H$5:H$204,MATCH(ROWS($A$5:A18),'VIP Signups'!$K$5:$K$204,0)),"")</x:f>
      </x:c>
    </x:row>
    <x:row r="19">
      <x:c r="A19" s="19" t="str">
        <x:f>IFERROR(INDEX('VIP Signups'!A$5:A$204,MATCH(ROWS($A$5:A19),'VIP Signups'!$K$5:$K$204,0)),"")</x:f>
      </x:c>
      <x:c r="B19" s="20" t="str">
        <x:f>IFERROR(INDEX('VIP Signups'!D$5:D$204,MATCH(ROWS($A$5:A19),'VIP Signups'!$K$5:$K$204,0)),"")</x:f>
      </x:c>
      <x:c r="C19" s="19" t="str">
        <x:f>IFERROR(INDEX('VIP Signups'!F$5:F$204,MATCH(ROWS($A$5:A19),'VIP Signups'!$K$5:$K$204,0)),"")</x:f>
      </x:c>
      <x:c r="D19" s="19" t="str">
        <x:f>IFERROR(INDEX('VIP Signups'!G$5:G$204,MATCH(ROWS($A$5:A19),'VIP Signups'!$K$5:$K$204,0)),"")</x:f>
      </x:c>
      <x:c r="E19" s="19" t="str">
        <x:f>IFERROR(INDEX('VIP Signups'!C$5:C$204,MATCH(ROWS($A$5:A19),'VIP Signups'!$K$5:$K$204,0)),"")</x:f>
      </x:c>
      <x:c r="F19" s="19" t="str">
        <x:f>IFERROR(INDEX('VIP Signups'!E$5:E$204,MATCH(ROWS($A$5:A19),'VIP Signups'!$K$5:$K$204,0)),"")</x:f>
      </x:c>
      <x:c r="G19" s="19" t="str">
        <x:f>IFERROR(INDEX('VIP Signups'!H$5:H$204,MATCH(ROWS($A$5:A19),'VIP Signups'!$K$5:$K$204,0)),"")</x:f>
      </x:c>
    </x:row>
    <x:row r="20">
      <x:c r="A20" s="19" t="str">
        <x:f>IFERROR(INDEX('VIP Signups'!A$5:A$204,MATCH(ROWS($A$5:A20),'VIP Signups'!$K$5:$K$204,0)),"")</x:f>
      </x:c>
      <x:c r="B20" s="20" t="str">
        <x:f>IFERROR(INDEX('VIP Signups'!D$5:D$204,MATCH(ROWS($A$5:A20),'VIP Signups'!$K$5:$K$204,0)),"")</x:f>
      </x:c>
      <x:c r="C20" s="19" t="str">
        <x:f>IFERROR(INDEX('VIP Signups'!F$5:F$204,MATCH(ROWS($A$5:A20),'VIP Signups'!$K$5:$K$204,0)),"")</x:f>
      </x:c>
      <x:c r="D20" s="19" t="str">
        <x:f>IFERROR(INDEX('VIP Signups'!G$5:G$204,MATCH(ROWS($A$5:A20),'VIP Signups'!$K$5:$K$204,0)),"")</x:f>
      </x:c>
      <x:c r="E20" s="19" t="str">
        <x:f>IFERROR(INDEX('VIP Signups'!C$5:C$204,MATCH(ROWS($A$5:A20),'VIP Signups'!$K$5:$K$204,0)),"")</x:f>
      </x:c>
      <x:c r="F20" s="19" t="str">
        <x:f>IFERROR(INDEX('VIP Signups'!E$5:E$204,MATCH(ROWS($A$5:A20),'VIP Signups'!$K$5:$K$204,0)),"")</x:f>
      </x:c>
      <x:c r="G20" s="19" t="str">
        <x:f>IFERROR(INDEX('VIP Signups'!H$5:H$204,MATCH(ROWS($A$5:A20),'VIP Signups'!$K$5:$K$204,0)),"")</x:f>
      </x:c>
    </x:row>
    <x:row r="21">
      <x:c r="A21" s="19" t="str">
        <x:f>IFERROR(INDEX('VIP Signups'!A$5:A$204,MATCH(ROWS($A$5:A21),'VIP Signups'!$K$5:$K$204,0)),"")</x:f>
      </x:c>
      <x:c r="B21" s="20" t="str">
        <x:f>IFERROR(INDEX('VIP Signups'!D$5:D$204,MATCH(ROWS($A$5:A21),'VIP Signups'!$K$5:$K$204,0)),"")</x:f>
      </x:c>
      <x:c r="C21" s="19" t="str">
        <x:f>IFERROR(INDEX('VIP Signups'!F$5:F$204,MATCH(ROWS($A$5:A21),'VIP Signups'!$K$5:$K$204,0)),"")</x:f>
      </x:c>
      <x:c r="D21" s="19" t="str">
        <x:f>IFERROR(INDEX('VIP Signups'!G$5:G$204,MATCH(ROWS($A$5:A21),'VIP Signups'!$K$5:$K$204,0)),"")</x:f>
      </x:c>
      <x:c r="E21" s="19" t="str">
        <x:f>IFERROR(INDEX('VIP Signups'!C$5:C$204,MATCH(ROWS($A$5:A21),'VIP Signups'!$K$5:$K$204,0)),"")</x:f>
      </x:c>
      <x:c r="F21" s="19" t="str">
        <x:f>IFERROR(INDEX('VIP Signups'!E$5:E$204,MATCH(ROWS($A$5:A21),'VIP Signups'!$K$5:$K$204,0)),"")</x:f>
      </x:c>
      <x:c r="G21" s="19" t="str">
        <x:f>IFERROR(INDEX('VIP Signups'!H$5:H$204,MATCH(ROWS($A$5:A21),'VIP Signups'!$K$5:$K$204,0)),"")</x:f>
      </x:c>
    </x:row>
    <x:row r="22">
      <x:c r="A22" s="19" t="str">
        <x:f>IFERROR(INDEX('VIP Signups'!A$5:A$204,MATCH(ROWS($A$5:A22),'VIP Signups'!$K$5:$K$204,0)),"")</x:f>
      </x:c>
      <x:c r="B22" s="20" t="str">
        <x:f>IFERROR(INDEX('VIP Signups'!D$5:D$204,MATCH(ROWS($A$5:A22),'VIP Signups'!$K$5:$K$204,0)),"")</x:f>
      </x:c>
      <x:c r="C22" s="19" t="str">
        <x:f>IFERROR(INDEX('VIP Signups'!F$5:F$204,MATCH(ROWS($A$5:A22),'VIP Signups'!$K$5:$K$204,0)),"")</x:f>
      </x:c>
      <x:c r="D22" s="19" t="str">
        <x:f>IFERROR(INDEX('VIP Signups'!G$5:G$204,MATCH(ROWS($A$5:A22),'VIP Signups'!$K$5:$K$204,0)),"")</x:f>
      </x:c>
      <x:c r="E22" s="19" t="str">
        <x:f>IFERROR(INDEX('VIP Signups'!C$5:C$204,MATCH(ROWS($A$5:A22),'VIP Signups'!$K$5:$K$204,0)),"")</x:f>
      </x:c>
      <x:c r="F22" s="19" t="str">
        <x:f>IFERROR(INDEX('VIP Signups'!E$5:E$204,MATCH(ROWS($A$5:A22),'VIP Signups'!$K$5:$K$204,0)),"")</x:f>
      </x:c>
      <x:c r="G22" s="19" t="str">
        <x:f>IFERROR(INDEX('VIP Signups'!H$5:H$204,MATCH(ROWS($A$5:A22),'VIP Signups'!$K$5:$K$204,0)),"")</x:f>
      </x:c>
    </x:row>
    <x:row r="23">
      <x:c r="A23" s="19" t="str">
        <x:f>IFERROR(INDEX('VIP Signups'!A$5:A$204,MATCH(ROWS($A$5:A23),'VIP Signups'!$K$5:$K$204,0)),"")</x:f>
      </x:c>
      <x:c r="B23" s="20" t="str">
        <x:f>IFERROR(INDEX('VIP Signups'!D$5:D$204,MATCH(ROWS($A$5:A23),'VIP Signups'!$K$5:$K$204,0)),"")</x:f>
      </x:c>
      <x:c r="C23" s="19" t="str">
        <x:f>IFERROR(INDEX('VIP Signups'!F$5:F$204,MATCH(ROWS($A$5:A23),'VIP Signups'!$K$5:$K$204,0)),"")</x:f>
      </x:c>
      <x:c r="D23" s="19" t="str">
        <x:f>IFERROR(INDEX('VIP Signups'!G$5:G$204,MATCH(ROWS($A$5:A23),'VIP Signups'!$K$5:$K$204,0)),"")</x:f>
      </x:c>
      <x:c r="E23" s="19" t="str">
        <x:f>IFERROR(INDEX('VIP Signups'!C$5:C$204,MATCH(ROWS($A$5:A23),'VIP Signups'!$K$5:$K$204,0)),"")</x:f>
      </x:c>
      <x:c r="F23" s="19" t="str">
        <x:f>IFERROR(INDEX('VIP Signups'!E$5:E$204,MATCH(ROWS($A$5:A23),'VIP Signups'!$K$5:$K$204,0)),"")</x:f>
      </x:c>
      <x:c r="G23" s="19" t="str">
        <x:f>IFERROR(INDEX('VIP Signups'!H$5:H$204,MATCH(ROWS($A$5:A23),'VIP Signups'!$K$5:$K$204,0)),"")</x:f>
      </x:c>
    </x:row>
    <x:row r="24">
      <x:c r="A24" s="19" t="str">
        <x:f>IFERROR(INDEX('VIP Signups'!A$5:A$204,MATCH(ROWS($A$5:A24),'VIP Signups'!$K$5:$K$204,0)),"")</x:f>
      </x:c>
      <x:c r="B24" s="20" t="str">
        <x:f>IFERROR(INDEX('VIP Signups'!D$5:D$204,MATCH(ROWS($A$5:A24),'VIP Signups'!$K$5:$K$204,0)),"")</x:f>
      </x:c>
      <x:c r="C24" s="19" t="str">
        <x:f>IFERROR(INDEX('VIP Signups'!F$5:F$204,MATCH(ROWS($A$5:A24),'VIP Signups'!$K$5:$K$204,0)),"")</x:f>
      </x:c>
      <x:c r="D24" s="19" t="str">
        <x:f>IFERROR(INDEX('VIP Signups'!G$5:G$204,MATCH(ROWS($A$5:A24),'VIP Signups'!$K$5:$K$204,0)),"")</x:f>
      </x:c>
      <x:c r="E24" s="19" t="str">
        <x:f>IFERROR(INDEX('VIP Signups'!C$5:C$204,MATCH(ROWS($A$5:A24),'VIP Signups'!$K$5:$K$204,0)),"")</x:f>
      </x:c>
      <x:c r="F24" s="19" t="str">
        <x:f>IFERROR(INDEX('VIP Signups'!E$5:E$204,MATCH(ROWS($A$5:A24),'VIP Signups'!$K$5:$K$204,0)),"")</x:f>
      </x:c>
      <x:c r="G24" s="19" t="str">
        <x:f>IFERROR(INDEX('VIP Signups'!H$5:H$204,MATCH(ROWS($A$5:A24),'VIP Signups'!$K$5:$K$204,0)),"")</x:f>
      </x:c>
    </x:row>
    <x:row r="25">
      <x:c r="A25" s="19" t="str">
        <x:f>IFERROR(INDEX('VIP Signups'!A$5:A$204,MATCH(ROWS($A$5:A25),'VIP Signups'!$K$5:$K$204,0)),"")</x:f>
      </x:c>
      <x:c r="B25" s="20" t="str">
        <x:f>IFERROR(INDEX('VIP Signups'!D$5:D$204,MATCH(ROWS($A$5:A25),'VIP Signups'!$K$5:$K$204,0)),"")</x:f>
      </x:c>
      <x:c r="C25" s="19" t="str">
        <x:f>IFERROR(INDEX('VIP Signups'!F$5:F$204,MATCH(ROWS($A$5:A25),'VIP Signups'!$K$5:$K$204,0)),"")</x:f>
      </x:c>
      <x:c r="D25" s="19" t="str">
        <x:f>IFERROR(INDEX('VIP Signups'!G$5:G$204,MATCH(ROWS($A$5:A25),'VIP Signups'!$K$5:$K$204,0)),"")</x:f>
      </x:c>
      <x:c r="E25" s="19" t="str">
        <x:f>IFERROR(INDEX('VIP Signups'!C$5:C$204,MATCH(ROWS($A$5:A25),'VIP Signups'!$K$5:$K$204,0)),"")</x:f>
      </x:c>
      <x:c r="F25" s="19" t="str">
        <x:f>IFERROR(INDEX('VIP Signups'!E$5:E$204,MATCH(ROWS($A$5:A25),'VIP Signups'!$K$5:$K$204,0)),"")</x:f>
      </x:c>
      <x:c r="G25" s="19" t="str">
        <x:f>IFERROR(INDEX('VIP Signups'!H$5:H$204,MATCH(ROWS($A$5:A25),'VIP Signups'!$K$5:$K$204,0)),"")</x:f>
      </x:c>
    </x:row>
    <x:row r="26">
      <x:c r="A26" s="19" t="str">
        <x:f>IFERROR(INDEX('VIP Signups'!A$5:A$204,MATCH(ROWS($A$5:A26),'VIP Signups'!$K$5:$K$204,0)),"")</x:f>
      </x:c>
      <x:c r="B26" s="20" t="str">
        <x:f>IFERROR(INDEX('VIP Signups'!D$5:D$204,MATCH(ROWS($A$5:A26),'VIP Signups'!$K$5:$K$204,0)),"")</x:f>
      </x:c>
      <x:c r="C26" s="19" t="str">
        <x:f>IFERROR(INDEX('VIP Signups'!F$5:F$204,MATCH(ROWS($A$5:A26),'VIP Signups'!$K$5:$K$204,0)),"")</x:f>
      </x:c>
      <x:c r="D26" s="19" t="str">
        <x:f>IFERROR(INDEX('VIP Signups'!G$5:G$204,MATCH(ROWS($A$5:A26),'VIP Signups'!$K$5:$K$204,0)),"")</x:f>
      </x:c>
      <x:c r="E26" s="19" t="str">
        <x:f>IFERROR(INDEX('VIP Signups'!C$5:C$204,MATCH(ROWS($A$5:A26),'VIP Signups'!$K$5:$K$204,0)),"")</x:f>
      </x:c>
      <x:c r="F26" s="19" t="str">
        <x:f>IFERROR(INDEX('VIP Signups'!E$5:E$204,MATCH(ROWS($A$5:A26),'VIP Signups'!$K$5:$K$204,0)),"")</x:f>
      </x:c>
      <x:c r="G26" s="19" t="str">
        <x:f>IFERROR(INDEX('VIP Signups'!H$5:H$204,MATCH(ROWS($A$5:A26),'VIP Signups'!$K$5:$K$204,0)),"")</x:f>
      </x:c>
    </x:row>
    <x:row r="27">
      <x:c r="A27" s="19" t="str">
        <x:f>IFERROR(INDEX('VIP Signups'!A$5:A$204,MATCH(ROWS($A$5:A27),'VIP Signups'!$K$5:$K$204,0)),"")</x:f>
      </x:c>
      <x:c r="B27" s="20" t="str">
        <x:f>IFERROR(INDEX('VIP Signups'!D$5:D$204,MATCH(ROWS($A$5:A27),'VIP Signups'!$K$5:$K$204,0)),"")</x:f>
      </x:c>
      <x:c r="C27" s="19" t="str">
        <x:f>IFERROR(INDEX('VIP Signups'!F$5:F$204,MATCH(ROWS($A$5:A27),'VIP Signups'!$K$5:$K$204,0)),"")</x:f>
      </x:c>
      <x:c r="D27" s="19" t="str">
        <x:f>IFERROR(INDEX('VIP Signups'!G$5:G$204,MATCH(ROWS($A$5:A27),'VIP Signups'!$K$5:$K$204,0)),"")</x:f>
      </x:c>
      <x:c r="E27" s="19" t="str">
        <x:f>IFERROR(INDEX('VIP Signups'!C$5:C$204,MATCH(ROWS($A$5:A27),'VIP Signups'!$K$5:$K$204,0)),"")</x:f>
      </x:c>
      <x:c r="F27" s="19" t="str">
        <x:f>IFERROR(INDEX('VIP Signups'!E$5:E$204,MATCH(ROWS($A$5:A27),'VIP Signups'!$K$5:$K$204,0)),"")</x:f>
      </x:c>
      <x:c r="G27" s="19" t="str">
        <x:f>IFERROR(INDEX('VIP Signups'!H$5:H$204,MATCH(ROWS($A$5:A27),'VIP Signups'!$K$5:$K$204,0)),"")</x:f>
      </x:c>
    </x:row>
    <x:row r="28">
      <x:c r="A28" s="19" t="str">
        <x:f>IFERROR(INDEX('VIP Signups'!A$5:A$204,MATCH(ROWS($A$5:A28),'VIP Signups'!$K$5:$K$204,0)),"")</x:f>
      </x:c>
      <x:c r="B28" s="20" t="str">
        <x:f>IFERROR(INDEX('VIP Signups'!D$5:D$204,MATCH(ROWS($A$5:A28),'VIP Signups'!$K$5:$K$204,0)),"")</x:f>
      </x:c>
      <x:c r="C28" s="19" t="str">
        <x:f>IFERROR(INDEX('VIP Signups'!F$5:F$204,MATCH(ROWS($A$5:A28),'VIP Signups'!$K$5:$K$204,0)),"")</x:f>
      </x:c>
      <x:c r="D28" s="19" t="str">
        <x:f>IFERROR(INDEX('VIP Signups'!G$5:G$204,MATCH(ROWS($A$5:A28),'VIP Signups'!$K$5:$K$204,0)),"")</x:f>
      </x:c>
      <x:c r="E28" s="19" t="str">
        <x:f>IFERROR(INDEX('VIP Signups'!C$5:C$204,MATCH(ROWS($A$5:A28),'VIP Signups'!$K$5:$K$204,0)),"")</x:f>
      </x:c>
      <x:c r="F28" s="19" t="str">
        <x:f>IFERROR(INDEX('VIP Signups'!E$5:E$204,MATCH(ROWS($A$5:A28),'VIP Signups'!$K$5:$K$204,0)),"")</x:f>
      </x:c>
      <x:c r="G28" s="19" t="str">
        <x:f>IFERROR(INDEX('VIP Signups'!H$5:H$204,MATCH(ROWS($A$5:A28),'VIP Signups'!$K$5:$K$204,0)),"")</x:f>
      </x:c>
    </x:row>
    <x:row r="29">
      <x:c r="A29" s="19" t="str">
        <x:f>IFERROR(INDEX('VIP Signups'!A$5:A$204,MATCH(ROWS($A$5:A29),'VIP Signups'!$K$5:$K$204,0)),"")</x:f>
      </x:c>
      <x:c r="B29" s="20" t="str">
        <x:f>IFERROR(INDEX('VIP Signups'!D$5:D$204,MATCH(ROWS($A$5:A29),'VIP Signups'!$K$5:$K$204,0)),"")</x:f>
      </x:c>
      <x:c r="C29" s="19" t="str">
        <x:f>IFERROR(INDEX('VIP Signups'!F$5:F$204,MATCH(ROWS($A$5:A29),'VIP Signups'!$K$5:$K$204,0)),"")</x:f>
      </x:c>
      <x:c r="D29" s="19" t="str">
        <x:f>IFERROR(INDEX('VIP Signups'!G$5:G$204,MATCH(ROWS($A$5:A29),'VIP Signups'!$K$5:$K$204,0)),"")</x:f>
      </x:c>
      <x:c r="E29" s="19" t="str">
        <x:f>IFERROR(INDEX('VIP Signups'!C$5:C$204,MATCH(ROWS($A$5:A29),'VIP Signups'!$K$5:$K$204,0)),"")</x:f>
      </x:c>
      <x:c r="F29" s="19" t="str">
        <x:f>IFERROR(INDEX('VIP Signups'!E$5:E$204,MATCH(ROWS($A$5:A29),'VIP Signups'!$K$5:$K$204,0)),"")</x:f>
      </x:c>
      <x:c r="G29" s="19" t="str">
        <x:f>IFERROR(INDEX('VIP Signups'!H$5:H$204,MATCH(ROWS($A$5:A29),'VIP Signups'!$K$5:$K$204,0)),"")</x:f>
      </x:c>
    </x:row>
    <x:row r="30">
      <x:c r="A30" s="19" t="str">
        <x:f>IFERROR(INDEX('VIP Signups'!A$5:A$204,MATCH(ROWS($A$5:A30),'VIP Signups'!$K$5:$K$204,0)),"")</x:f>
      </x:c>
      <x:c r="B30" s="20" t="str">
        <x:f>IFERROR(INDEX('VIP Signups'!D$5:D$204,MATCH(ROWS($A$5:A30),'VIP Signups'!$K$5:$K$204,0)),"")</x:f>
      </x:c>
      <x:c r="C30" s="19" t="str">
        <x:f>IFERROR(INDEX('VIP Signups'!F$5:F$204,MATCH(ROWS($A$5:A30),'VIP Signups'!$K$5:$K$204,0)),"")</x:f>
      </x:c>
      <x:c r="D30" s="19" t="str">
        <x:f>IFERROR(INDEX('VIP Signups'!G$5:G$204,MATCH(ROWS($A$5:A30),'VIP Signups'!$K$5:$K$204,0)),"")</x:f>
      </x:c>
      <x:c r="E30" s="19" t="str">
        <x:f>IFERROR(INDEX('VIP Signups'!C$5:C$204,MATCH(ROWS($A$5:A30),'VIP Signups'!$K$5:$K$204,0)),"")</x:f>
      </x:c>
      <x:c r="F30" s="19" t="str">
        <x:f>IFERROR(INDEX('VIP Signups'!E$5:E$204,MATCH(ROWS($A$5:A30),'VIP Signups'!$K$5:$K$204,0)),"")</x:f>
      </x:c>
      <x:c r="G30" s="19" t="str">
        <x:f>IFERROR(INDEX('VIP Signups'!H$5:H$204,MATCH(ROWS($A$5:A30),'VIP Signups'!$K$5:$K$204,0)),"")</x:f>
      </x:c>
    </x:row>
    <x:row r="31">
      <x:c r="A31" s="19" t="str">
        <x:f>IFERROR(INDEX('VIP Signups'!A$5:A$204,MATCH(ROWS($A$5:A31),'VIP Signups'!$K$5:$K$204,0)),"")</x:f>
      </x:c>
      <x:c r="B31" s="20" t="str">
        <x:f>IFERROR(INDEX('VIP Signups'!D$5:D$204,MATCH(ROWS($A$5:A31),'VIP Signups'!$K$5:$K$204,0)),"")</x:f>
      </x:c>
      <x:c r="C31" s="19" t="str">
        <x:f>IFERROR(INDEX('VIP Signups'!F$5:F$204,MATCH(ROWS($A$5:A31),'VIP Signups'!$K$5:$K$204,0)),"")</x:f>
      </x:c>
      <x:c r="D31" s="19" t="str">
        <x:f>IFERROR(INDEX('VIP Signups'!G$5:G$204,MATCH(ROWS($A$5:A31),'VIP Signups'!$K$5:$K$204,0)),"")</x:f>
      </x:c>
      <x:c r="E31" s="19" t="str">
        <x:f>IFERROR(INDEX('VIP Signups'!C$5:C$204,MATCH(ROWS($A$5:A31),'VIP Signups'!$K$5:$K$204,0)),"")</x:f>
      </x:c>
      <x:c r="F31" s="19" t="str">
        <x:f>IFERROR(INDEX('VIP Signups'!E$5:E$204,MATCH(ROWS($A$5:A31),'VIP Signups'!$K$5:$K$204,0)),"")</x:f>
      </x:c>
      <x:c r="G31" s="19" t="str">
        <x:f>IFERROR(INDEX('VIP Signups'!H$5:H$204,MATCH(ROWS($A$5:A31),'VIP Signups'!$K$5:$K$204,0)),"")</x:f>
      </x:c>
    </x:row>
    <x:row r="32">
      <x:c r="A32" s="19" t="str">
        <x:f>IFERROR(INDEX('VIP Signups'!A$5:A$204,MATCH(ROWS($A$5:A32),'VIP Signups'!$K$5:$K$204,0)),"")</x:f>
      </x:c>
      <x:c r="B32" s="20" t="str">
        <x:f>IFERROR(INDEX('VIP Signups'!D$5:D$204,MATCH(ROWS($A$5:A32),'VIP Signups'!$K$5:$K$204,0)),"")</x:f>
      </x:c>
      <x:c r="C32" s="19" t="str">
        <x:f>IFERROR(INDEX('VIP Signups'!F$5:F$204,MATCH(ROWS($A$5:A32),'VIP Signups'!$K$5:$K$204,0)),"")</x:f>
      </x:c>
      <x:c r="D32" s="19" t="str">
        <x:f>IFERROR(INDEX('VIP Signups'!G$5:G$204,MATCH(ROWS($A$5:A32),'VIP Signups'!$K$5:$K$204,0)),"")</x:f>
      </x:c>
      <x:c r="E32" s="19" t="str">
        <x:f>IFERROR(INDEX('VIP Signups'!C$5:C$204,MATCH(ROWS($A$5:A32),'VIP Signups'!$K$5:$K$204,0)),"")</x:f>
      </x:c>
      <x:c r="F32" s="19" t="str">
        <x:f>IFERROR(INDEX('VIP Signups'!E$5:E$204,MATCH(ROWS($A$5:A32),'VIP Signups'!$K$5:$K$204,0)),"")</x:f>
      </x:c>
      <x:c r="G32" s="19" t="str">
        <x:f>IFERROR(INDEX('VIP Signups'!H$5:H$204,MATCH(ROWS($A$5:A32),'VIP Signups'!$K$5:$K$204,0)),"")</x:f>
      </x:c>
    </x:row>
    <x:row r="33">
      <x:c r="A33" s="19" t="str">
        <x:f>IFERROR(INDEX('VIP Signups'!A$5:A$204,MATCH(ROWS($A$5:A33),'VIP Signups'!$K$5:$K$204,0)),"")</x:f>
      </x:c>
      <x:c r="B33" s="20" t="str">
        <x:f>IFERROR(INDEX('VIP Signups'!D$5:D$204,MATCH(ROWS($A$5:A33),'VIP Signups'!$K$5:$K$204,0)),"")</x:f>
      </x:c>
      <x:c r="C33" s="19" t="str">
        <x:f>IFERROR(INDEX('VIP Signups'!F$5:F$204,MATCH(ROWS($A$5:A33),'VIP Signups'!$K$5:$K$204,0)),"")</x:f>
      </x:c>
      <x:c r="D33" s="19" t="str">
        <x:f>IFERROR(INDEX('VIP Signups'!G$5:G$204,MATCH(ROWS($A$5:A33),'VIP Signups'!$K$5:$K$204,0)),"")</x:f>
      </x:c>
      <x:c r="E33" s="19" t="str">
        <x:f>IFERROR(INDEX('VIP Signups'!C$5:C$204,MATCH(ROWS($A$5:A33),'VIP Signups'!$K$5:$K$204,0)),"")</x:f>
      </x:c>
      <x:c r="F33" s="19" t="str">
        <x:f>IFERROR(INDEX('VIP Signups'!E$5:E$204,MATCH(ROWS($A$5:A33),'VIP Signups'!$K$5:$K$204,0)),"")</x:f>
      </x:c>
      <x:c r="G33" s="19" t="str">
        <x:f>IFERROR(INDEX('VIP Signups'!H$5:H$204,MATCH(ROWS($A$5:A33),'VIP Signups'!$K$5:$K$204,0)),"")</x:f>
      </x:c>
    </x:row>
    <x:row r="34">
      <x:c r="A34" s="19" t="str">
        <x:f>IFERROR(INDEX('VIP Signups'!A$5:A$204,MATCH(ROWS($A$5:A34),'VIP Signups'!$K$5:$K$204,0)),"")</x:f>
      </x:c>
      <x:c r="B34" s="20" t="str">
        <x:f>IFERROR(INDEX('VIP Signups'!D$5:D$204,MATCH(ROWS($A$5:A34),'VIP Signups'!$K$5:$K$204,0)),"")</x:f>
      </x:c>
      <x:c r="C34" s="19" t="str">
        <x:f>IFERROR(INDEX('VIP Signups'!F$5:F$204,MATCH(ROWS($A$5:A34),'VIP Signups'!$K$5:$K$204,0)),"")</x:f>
      </x:c>
      <x:c r="D34" s="19" t="str">
        <x:f>IFERROR(INDEX('VIP Signups'!G$5:G$204,MATCH(ROWS($A$5:A34),'VIP Signups'!$K$5:$K$204,0)),"")</x:f>
      </x:c>
      <x:c r="E34" s="19" t="str">
        <x:f>IFERROR(INDEX('VIP Signups'!C$5:C$204,MATCH(ROWS($A$5:A34),'VIP Signups'!$K$5:$K$204,0)),"")</x:f>
      </x:c>
      <x:c r="F34" s="19" t="str">
        <x:f>IFERROR(INDEX('VIP Signups'!E$5:E$204,MATCH(ROWS($A$5:A34),'VIP Signups'!$K$5:$K$204,0)),"")</x:f>
      </x:c>
      <x:c r="G34" s="19" t="str">
        <x:f>IFERROR(INDEX('VIP Signups'!H$5:H$204,MATCH(ROWS($A$5:A34),'VIP Signups'!$K$5:$K$204,0)),"")</x:f>
      </x:c>
    </x:row>
    <x:row r="35">
      <x:c r="A35" s="19" t="str">
        <x:f>IFERROR(INDEX('VIP Signups'!A$5:A$204,MATCH(ROWS($A$5:A35),'VIP Signups'!$K$5:$K$204,0)),"")</x:f>
      </x:c>
      <x:c r="B35" s="20" t="str">
        <x:f>IFERROR(INDEX('VIP Signups'!D$5:D$204,MATCH(ROWS($A$5:A35),'VIP Signups'!$K$5:$K$204,0)),"")</x:f>
      </x:c>
      <x:c r="C35" s="19" t="str">
        <x:f>IFERROR(INDEX('VIP Signups'!F$5:F$204,MATCH(ROWS($A$5:A35),'VIP Signups'!$K$5:$K$204,0)),"")</x:f>
      </x:c>
      <x:c r="D35" s="19" t="str">
        <x:f>IFERROR(INDEX('VIP Signups'!G$5:G$204,MATCH(ROWS($A$5:A35),'VIP Signups'!$K$5:$K$204,0)),"")</x:f>
      </x:c>
      <x:c r="E35" s="19" t="str">
        <x:f>IFERROR(INDEX('VIP Signups'!C$5:C$204,MATCH(ROWS($A$5:A35),'VIP Signups'!$K$5:$K$204,0)),"")</x:f>
      </x:c>
      <x:c r="F35" s="19" t="str">
        <x:f>IFERROR(INDEX('VIP Signups'!E$5:E$204,MATCH(ROWS($A$5:A35),'VIP Signups'!$K$5:$K$204,0)),"")</x:f>
      </x:c>
      <x:c r="G35" s="19" t="str">
        <x:f>IFERROR(INDEX('VIP Signups'!H$5:H$204,MATCH(ROWS($A$5:A35),'VIP Signups'!$K$5:$K$204,0)),"")</x:f>
      </x:c>
    </x:row>
    <x:row r="36">
      <x:c r="A36" s="19" t="str">
        <x:f>IFERROR(INDEX('VIP Signups'!A$5:A$204,MATCH(ROWS($A$5:A36),'VIP Signups'!$K$5:$K$204,0)),"")</x:f>
      </x:c>
      <x:c r="B36" s="20" t="str">
        <x:f>IFERROR(INDEX('VIP Signups'!D$5:D$204,MATCH(ROWS($A$5:A36),'VIP Signups'!$K$5:$K$204,0)),"")</x:f>
      </x:c>
      <x:c r="C36" s="19" t="str">
        <x:f>IFERROR(INDEX('VIP Signups'!F$5:F$204,MATCH(ROWS($A$5:A36),'VIP Signups'!$K$5:$K$204,0)),"")</x:f>
      </x:c>
      <x:c r="D36" s="19" t="str">
        <x:f>IFERROR(INDEX('VIP Signups'!G$5:G$204,MATCH(ROWS($A$5:A36),'VIP Signups'!$K$5:$K$204,0)),"")</x:f>
      </x:c>
      <x:c r="E36" s="19" t="str">
        <x:f>IFERROR(INDEX('VIP Signups'!C$5:C$204,MATCH(ROWS($A$5:A36),'VIP Signups'!$K$5:$K$204,0)),"")</x:f>
      </x:c>
      <x:c r="F36" s="19" t="str">
        <x:f>IFERROR(INDEX('VIP Signups'!E$5:E$204,MATCH(ROWS($A$5:A36),'VIP Signups'!$K$5:$K$204,0)),"")</x:f>
      </x:c>
      <x:c r="G36" s="19" t="str">
        <x:f>IFERROR(INDEX('VIP Signups'!H$5:H$204,MATCH(ROWS($A$5:A36),'VIP Signups'!$K$5:$K$204,0)),"")</x:f>
      </x:c>
    </x:row>
    <x:row r="37">
      <x:c r="A37" s="19" t="str">
        <x:f>IFERROR(INDEX('VIP Signups'!A$5:A$204,MATCH(ROWS($A$5:A37),'VIP Signups'!$K$5:$K$204,0)),"")</x:f>
      </x:c>
      <x:c r="B37" s="20" t="str">
        <x:f>IFERROR(INDEX('VIP Signups'!D$5:D$204,MATCH(ROWS($A$5:A37),'VIP Signups'!$K$5:$K$204,0)),"")</x:f>
      </x:c>
      <x:c r="C37" s="19" t="str">
        <x:f>IFERROR(INDEX('VIP Signups'!F$5:F$204,MATCH(ROWS($A$5:A37),'VIP Signups'!$K$5:$K$204,0)),"")</x:f>
      </x:c>
      <x:c r="D37" s="19" t="str">
        <x:f>IFERROR(INDEX('VIP Signups'!G$5:G$204,MATCH(ROWS($A$5:A37),'VIP Signups'!$K$5:$K$204,0)),"")</x:f>
      </x:c>
      <x:c r="E37" s="19" t="str">
        <x:f>IFERROR(INDEX('VIP Signups'!C$5:C$204,MATCH(ROWS($A$5:A37),'VIP Signups'!$K$5:$K$204,0)),"")</x:f>
      </x:c>
      <x:c r="F37" s="19" t="str">
        <x:f>IFERROR(INDEX('VIP Signups'!E$5:E$204,MATCH(ROWS($A$5:A37),'VIP Signups'!$K$5:$K$204,0)),"")</x:f>
      </x:c>
      <x:c r="G37" s="19" t="str">
        <x:f>IFERROR(INDEX('VIP Signups'!H$5:H$204,MATCH(ROWS($A$5:A37),'VIP Signups'!$K$5:$K$204,0)),"")</x:f>
      </x:c>
    </x:row>
    <x:row r="38">
      <x:c r="A38" s="19" t="str">
        <x:f>IFERROR(INDEX('VIP Signups'!A$5:A$204,MATCH(ROWS($A$5:A38),'VIP Signups'!$K$5:$K$204,0)),"")</x:f>
      </x:c>
      <x:c r="B38" s="20" t="str">
        <x:f>IFERROR(INDEX('VIP Signups'!D$5:D$204,MATCH(ROWS($A$5:A38),'VIP Signups'!$K$5:$K$204,0)),"")</x:f>
      </x:c>
      <x:c r="C38" s="19" t="str">
        <x:f>IFERROR(INDEX('VIP Signups'!F$5:F$204,MATCH(ROWS($A$5:A38),'VIP Signups'!$K$5:$K$204,0)),"")</x:f>
      </x:c>
      <x:c r="D38" s="19" t="str">
        <x:f>IFERROR(INDEX('VIP Signups'!G$5:G$204,MATCH(ROWS($A$5:A38),'VIP Signups'!$K$5:$K$204,0)),"")</x:f>
      </x:c>
      <x:c r="E38" s="19" t="str">
        <x:f>IFERROR(INDEX('VIP Signups'!C$5:C$204,MATCH(ROWS($A$5:A38),'VIP Signups'!$K$5:$K$204,0)),"")</x:f>
      </x:c>
      <x:c r="F38" s="19" t="str">
        <x:f>IFERROR(INDEX('VIP Signups'!E$5:E$204,MATCH(ROWS($A$5:A38),'VIP Signups'!$K$5:$K$204,0)),"")</x:f>
      </x:c>
      <x:c r="G38" s="19" t="str">
        <x:f>IFERROR(INDEX('VIP Signups'!H$5:H$204,MATCH(ROWS($A$5:A38),'VIP Signups'!$K$5:$K$204,0)),"")</x:f>
      </x:c>
    </x:row>
    <x:row r="39">
      <x:c r="A39" s="19" t="str">
        <x:f>IFERROR(INDEX('VIP Signups'!A$5:A$204,MATCH(ROWS($A$5:A39),'VIP Signups'!$K$5:$K$204,0)),"")</x:f>
      </x:c>
      <x:c r="B39" s="20" t="str">
        <x:f>IFERROR(INDEX('VIP Signups'!D$5:D$204,MATCH(ROWS($A$5:A39),'VIP Signups'!$K$5:$K$204,0)),"")</x:f>
      </x:c>
      <x:c r="C39" s="19" t="str">
        <x:f>IFERROR(INDEX('VIP Signups'!F$5:F$204,MATCH(ROWS($A$5:A39),'VIP Signups'!$K$5:$K$204,0)),"")</x:f>
      </x:c>
      <x:c r="D39" s="19" t="str">
        <x:f>IFERROR(INDEX('VIP Signups'!G$5:G$204,MATCH(ROWS($A$5:A39),'VIP Signups'!$K$5:$K$204,0)),"")</x:f>
      </x:c>
      <x:c r="E39" s="19" t="str">
        <x:f>IFERROR(INDEX('VIP Signups'!C$5:C$204,MATCH(ROWS($A$5:A39),'VIP Signups'!$K$5:$K$204,0)),"")</x:f>
      </x:c>
      <x:c r="F39" s="19" t="str">
        <x:f>IFERROR(INDEX('VIP Signups'!E$5:E$204,MATCH(ROWS($A$5:A39),'VIP Signups'!$K$5:$K$204,0)),"")</x:f>
      </x:c>
      <x:c r="G39" s="19" t="str">
        <x:f>IFERROR(INDEX('VIP Signups'!H$5:H$204,MATCH(ROWS($A$5:A39),'VIP Signups'!$K$5:$K$204,0)),"")</x:f>
      </x:c>
    </x:row>
    <x:row r="40">
      <x:c r="A40" s="19" t="str">
        <x:f>IFERROR(INDEX('VIP Signups'!A$5:A$204,MATCH(ROWS($A$5:A40),'VIP Signups'!$K$5:$K$204,0)),"")</x:f>
      </x:c>
      <x:c r="B40" s="20" t="str">
        <x:f>IFERROR(INDEX('VIP Signups'!D$5:D$204,MATCH(ROWS($A$5:A40),'VIP Signups'!$K$5:$K$204,0)),"")</x:f>
      </x:c>
      <x:c r="C40" s="19" t="str">
        <x:f>IFERROR(INDEX('VIP Signups'!F$5:F$204,MATCH(ROWS($A$5:A40),'VIP Signups'!$K$5:$K$204,0)),"")</x:f>
      </x:c>
      <x:c r="D40" s="19" t="str">
        <x:f>IFERROR(INDEX('VIP Signups'!G$5:G$204,MATCH(ROWS($A$5:A40),'VIP Signups'!$K$5:$K$204,0)),"")</x:f>
      </x:c>
      <x:c r="E40" s="19" t="str">
        <x:f>IFERROR(INDEX('VIP Signups'!C$5:C$204,MATCH(ROWS($A$5:A40),'VIP Signups'!$K$5:$K$204,0)),"")</x:f>
      </x:c>
      <x:c r="F40" s="19" t="str">
        <x:f>IFERROR(INDEX('VIP Signups'!E$5:E$204,MATCH(ROWS($A$5:A40),'VIP Signups'!$K$5:$K$204,0)),"")</x:f>
      </x:c>
      <x:c r="G40" s="19" t="str">
        <x:f>IFERROR(INDEX('VIP Signups'!H$5:H$204,MATCH(ROWS($A$5:A40),'VIP Signups'!$K$5:$K$204,0)),"")</x:f>
      </x:c>
    </x:row>
    <x:row r="41">
      <x:c r="A41" s="19" t="str">
        <x:f>IFERROR(INDEX('VIP Signups'!A$5:A$204,MATCH(ROWS($A$5:A41),'VIP Signups'!$K$5:$K$204,0)),"")</x:f>
      </x:c>
      <x:c r="B41" s="20" t="str">
        <x:f>IFERROR(INDEX('VIP Signups'!D$5:D$204,MATCH(ROWS($A$5:A41),'VIP Signups'!$K$5:$K$204,0)),"")</x:f>
      </x:c>
      <x:c r="C41" s="19" t="str">
        <x:f>IFERROR(INDEX('VIP Signups'!F$5:F$204,MATCH(ROWS($A$5:A41),'VIP Signups'!$K$5:$K$204,0)),"")</x:f>
      </x:c>
      <x:c r="D41" s="19" t="str">
        <x:f>IFERROR(INDEX('VIP Signups'!G$5:G$204,MATCH(ROWS($A$5:A41),'VIP Signups'!$K$5:$K$204,0)),"")</x:f>
      </x:c>
      <x:c r="E41" s="19" t="str">
        <x:f>IFERROR(INDEX('VIP Signups'!C$5:C$204,MATCH(ROWS($A$5:A41),'VIP Signups'!$K$5:$K$204,0)),"")</x:f>
      </x:c>
      <x:c r="F41" s="19" t="str">
        <x:f>IFERROR(INDEX('VIP Signups'!E$5:E$204,MATCH(ROWS($A$5:A41),'VIP Signups'!$K$5:$K$204,0)),"")</x:f>
      </x:c>
      <x:c r="G41" s="19" t="str">
        <x:f>IFERROR(INDEX('VIP Signups'!H$5:H$204,MATCH(ROWS($A$5:A41),'VIP Signups'!$K$5:$K$204,0)),"")</x:f>
      </x:c>
    </x:row>
    <x:row r="42">
      <x:c r="A42" s="19" t="str">
        <x:f>IFERROR(INDEX('VIP Signups'!A$5:A$204,MATCH(ROWS($A$5:A42),'VIP Signups'!$K$5:$K$204,0)),"")</x:f>
      </x:c>
      <x:c r="B42" s="20" t="str">
        <x:f>IFERROR(INDEX('VIP Signups'!D$5:D$204,MATCH(ROWS($A$5:A42),'VIP Signups'!$K$5:$K$204,0)),"")</x:f>
      </x:c>
      <x:c r="C42" s="19" t="str">
        <x:f>IFERROR(INDEX('VIP Signups'!F$5:F$204,MATCH(ROWS($A$5:A42),'VIP Signups'!$K$5:$K$204,0)),"")</x:f>
      </x:c>
      <x:c r="D42" s="19" t="str">
        <x:f>IFERROR(INDEX('VIP Signups'!G$5:G$204,MATCH(ROWS($A$5:A42),'VIP Signups'!$K$5:$K$204,0)),"")</x:f>
      </x:c>
      <x:c r="E42" s="19" t="str">
        <x:f>IFERROR(INDEX('VIP Signups'!C$5:C$204,MATCH(ROWS($A$5:A42),'VIP Signups'!$K$5:$K$204,0)),"")</x:f>
      </x:c>
      <x:c r="F42" s="19" t="str">
        <x:f>IFERROR(INDEX('VIP Signups'!E$5:E$204,MATCH(ROWS($A$5:A42),'VIP Signups'!$K$5:$K$204,0)),"")</x:f>
      </x:c>
      <x:c r="G42" s="19" t="str">
        <x:f>IFERROR(INDEX('VIP Signups'!H$5:H$204,MATCH(ROWS($A$5:A42),'VIP Signups'!$K$5:$K$204,0)),"")</x:f>
      </x:c>
    </x:row>
    <x:row r="43">
      <x:c r="A43" s="19" t="str">
        <x:f>IFERROR(INDEX('VIP Signups'!A$5:A$204,MATCH(ROWS($A$5:A43),'VIP Signups'!$K$5:$K$204,0)),"")</x:f>
      </x:c>
      <x:c r="B43" s="20" t="str">
        <x:f>IFERROR(INDEX('VIP Signups'!D$5:D$204,MATCH(ROWS($A$5:A43),'VIP Signups'!$K$5:$K$204,0)),"")</x:f>
      </x:c>
      <x:c r="C43" s="19" t="str">
        <x:f>IFERROR(INDEX('VIP Signups'!F$5:F$204,MATCH(ROWS($A$5:A43),'VIP Signups'!$K$5:$K$204,0)),"")</x:f>
      </x:c>
      <x:c r="D43" s="19" t="str">
        <x:f>IFERROR(INDEX('VIP Signups'!G$5:G$204,MATCH(ROWS($A$5:A43),'VIP Signups'!$K$5:$K$204,0)),"")</x:f>
      </x:c>
      <x:c r="E43" s="19" t="str">
        <x:f>IFERROR(INDEX('VIP Signups'!C$5:C$204,MATCH(ROWS($A$5:A43),'VIP Signups'!$K$5:$K$204,0)),"")</x:f>
      </x:c>
      <x:c r="F43" s="19" t="str">
        <x:f>IFERROR(INDEX('VIP Signups'!E$5:E$204,MATCH(ROWS($A$5:A43),'VIP Signups'!$K$5:$K$204,0)),"")</x:f>
      </x:c>
      <x:c r="G43" s="19" t="str">
        <x:f>IFERROR(INDEX('VIP Signups'!H$5:H$204,MATCH(ROWS($A$5:A43),'VIP Signups'!$K$5:$K$204,0)),"")</x:f>
      </x:c>
    </x:row>
    <x:row r="44">
      <x:c r="A44" s="19" t="str">
        <x:f>IFERROR(INDEX('VIP Signups'!A$5:A$204,MATCH(ROWS($A$5:A44),'VIP Signups'!$K$5:$K$204,0)),"")</x:f>
      </x:c>
      <x:c r="B44" s="20" t="str">
        <x:f>IFERROR(INDEX('VIP Signups'!D$5:D$204,MATCH(ROWS($A$5:A44),'VIP Signups'!$K$5:$K$204,0)),"")</x:f>
      </x:c>
      <x:c r="C44" s="19" t="str">
        <x:f>IFERROR(INDEX('VIP Signups'!F$5:F$204,MATCH(ROWS($A$5:A44),'VIP Signups'!$K$5:$K$204,0)),"")</x:f>
      </x:c>
      <x:c r="D44" s="19" t="str">
        <x:f>IFERROR(INDEX('VIP Signups'!G$5:G$204,MATCH(ROWS($A$5:A44),'VIP Signups'!$K$5:$K$204,0)),"")</x:f>
      </x:c>
      <x:c r="E44" s="19" t="str">
        <x:f>IFERROR(INDEX('VIP Signups'!C$5:C$204,MATCH(ROWS($A$5:A44),'VIP Signups'!$K$5:$K$204,0)),"")</x:f>
      </x:c>
      <x:c r="F44" s="19" t="str">
        <x:f>IFERROR(INDEX('VIP Signups'!E$5:E$204,MATCH(ROWS($A$5:A44),'VIP Signups'!$K$5:$K$204,0)),"")</x:f>
      </x:c>
      <x:c r="G44" s="19" t="str">
        <x:f>IFERROR(INDEX('VIP Signups'!H$5:H$204,MATCH(ROWS($A$5:A44),'VIP Signups'!$K$5:$K$204,0)),"")</x:f>
      </x:c>
    </x:row>
    <x:row r="45">
      <x:c r="A45" s="19" t="str">
        <x:f>IFERROR(INDEX('VIP Signups'!A$5:A$204,MATCH(ROWS($A$5:A45),'VIP Signups'!$K$5:$K$204,0)),"")</x:f>
      </x:c>
      <x:c r="B45" s="20" t="str">
        <x:f>IFERROR(INDEX('VIP Signups'!D$5:D$204,MATCH(ROWS($A$5:A45),'VIP Signups'!$K$5:$K$204,0)),"")</x:f>
      </x:c>
      <x:c r="C45" s="19" t="str">
        <x:f>IFERROR(INDEX('VIP Signups'!F$5:F$204,MATCH(ROWS($A$5:A45),'VIP Signups'!$K$5:$K$204,0)),"")</x:f>
      </x:c>
      <x:c r="D45" s="19" t="str">
        <x:f>IFERROR(INDEX('VIP Signups'!G$5:G$204,MATCH(ROWS($A$5:A45),'VIP Signups'!$K$5:$K$204,0)),"")</x:f>
      </x:c>
      <x:c r="E45" s="19" t="str">
        <x:f>IFERROR(INDEX('VIP Signups'!C$5:C$204,MATCH(ROWS($A$5:A45),'VIP Signups'!$K$5:$K$204,0)),"")</x:f>
      </x:c>
      <x:c r="F45" s="19" t="str">
        <x:f>IFERROR(INDEX('VIP Signups'!E$5:E$204,MATCH(ROWS($A$5:A45),'VIP Signups'!$K$5:$K$204,0)),"")</x:f>
      </x:c>
      <x:c r="G45" s="19" t="str">
        <x:f>IFERROR(INDEX('VIP Signups'!H$5:H$204,MATCH(ROWS($A$5:A45),'VIP Signups'!$K$5:$K$204,0)),"")</x:f>
      </x:c>
    </x:row>
    <x:row r="46">
      <x:c r="A46" s="19" t="str">
        <x:f>IFERROR(INDEX('VIP Signups'!A$5:A$204,MATCH(ROWS($A$5:A46),'VIP Signups'!$K$5:$K$204,0)),"")</x:f>
      </x:c>
      <x:c r="B46" s="20" t="str">
        <x:f>IFERROR(INDEX('VIP Signups'!D$5:D$204,MATCH(ROWS($A$5:A46),'VIP Signups'!$K$5:$K$204,0)),"")</x:f>
      </x:c>
      <x:c r="C46" s="19" t="str">
        <x:f>IFERROR(INDEX('VIP Signups'!F$5:F$204,MATCH(ROWS($A$5:A46),'VIP Signups'!$K$5:$K$204,0)),"")</x:f>
      </x:c>
      <x:c r="D46" s="19" t="str">
        <x:f>IFERROR(INDEX('VIP Signups'!G$5:G$204,MATCH(ROWS($A$5:A46),'VIP Signups'!$K$5:$K$204,0)),"")</x:f>
      </x:c>
      <x:c r="E46" s="19" t="str">
        <x:f>IFERROR(INDEX('VIP Signups'!C$5:C$204,MATCH(ROWS($A$5:A46),'VIP Signups'!$K$5:$K$204,0)),"")</x:f>
      </x:c>
      <x:c r="F46" s="19" t="str">
        <x:f>IFERROR(INDEX('VIP Signups'!E$5:E$204,MATCH(ROWS($A$5:A46),'VIP Signups'!$K$5:$K$204,0)),"")</x:f>
      </x:c>
      <x:c r="G46" s="19" t="str">
        <x:f>IFERROR(INDEX('VIP Signups'!H$5:H$204,MATCH(ROWS($A$5:A46),'VIP Signups'!$K$5:$K$204,0)),"")</x:f>
      </x:c>
    </x:row>
    <x:row r="47">
      <x:c r="A47" s="19" t="str">
        <x:f>IFERROR(INDEX('VIP Signups'!A$5:A$204,MATCH(ROWS($A$5:A47),'VIP Signups'!$K$5:$K$204,0)),"")</x:f>
      </x:c>
      <x:c r="B47" s="20" t="str">
        <x:f>IFERROR(INDEX('VIP Signups'!D$5:D$204,MATCH(ROWS($A$5:A47),'VIP Signups'!$K$5:$K$204,0)),"")</x:f>
      </x:c>
      <x:c r="C47" s="19" t="str">
        <x:f>IFERROR(INDEX('VIP Signups'!F$5:F$204,MATCH(ROWS($A$5:A47),'VIP Signups'!$K$5:$K$204,0)),"")</x:f>
      </x:c>
      <x:c r="D47" s="19" t="str">
        <x:f>IFERROR(INDEX('VIP Signups'!G$5:G$204,MATCH(ROWS($A$5:A47),'VIP Signups'!$K$5:$K$204,0)),"")</x:f>
      </x:c>
      <x:c r="E47" s="19" t="str">
        <x:f>IFERROR(INDEX('VIP Signups'!C$5:C$204,MATCH(ROWS($A$5:A47),'VIP Signups'!$K$5:$K$204,0)),"")</x:f>
      </x:c>
      <x:c r="F47" s="19" t="str">
        <x:f>IFERROR(INDEX('VIP Signups'!E$5:E$204,MATCH(ROWS($A$5:A47),'VIP Signups'!$K$5:$K$204,0)),"")</x:f>
      </x:c>
      <x:c r="G47" s="19" t="str">
        <x:f>IFERROR(INDEX('VIP Signups'!H$5:H$204,MATCH(ROWS($A$5:A47),'VIP Signups'!$K$5:$K$204,0)),"")</x:f>
      </x:c>
    </x:row>
    <x:row r="48">
      <x:c r="A48" s="19" t="str">
        <x:f>IFERROR(INDEX('VIP Signups'!A$5:A$204,MATCH(ROWS($A$5:A48),'VIP Signups'!$K$5:$K$204,0)),"")</x:f>
      </x:c>
      <x:c r="B48" s="20" t="str">
        <x:f>IFERROR(INDEX('VIP Signups'!D$5:D$204,MATCH(ROWS($A$5:A48),'VIP Signups'!$K$5:$K$204,0)),"")</x:f>
      </x:c>
      <x:c r="C48" s="19" t="str">
        <x:f>IFERROR(INDEX('VIP Signups'!F$5:F$204,MATCH(ROWS($A$5:A48),'VIP Signups'!$K$5:$K$204,0)),"")</x:f>
      </x:c>
      <x:c r="D48" s="19" t="str">
        <x:f>IFERROR(INDEX('VIP Signups'!G$5:G$204,MATCH(ROWS($A$5:A48),'VIP Signups'!$K$5:$K$204,0)),"")</x:f>
      </x:c>
      <x:c r="E48" s="19" t="str">
        <x:f>IFERROR(INDEX('VIP Signups'!C$5:C$204,MATCH(ROWS($A$5:A48),'VIP Signups'!$K$5:$K$204,0)),"")</x:f>
      </x:c>
      <x:c r="F48" s="19" t="str">
        <x:f>IFERROR(INDEX('VIP Signups'!E$5:E$204,MATCH(ROWS($A$5:A48),'VIP Signups'!$K$5:$K$204,0)),"")</x:f>
      </x:c>
      <x:c r="G48" s="19" t="str">
        <x:f>IFERROR(INDEX('VIP Signups'!H$5:H$204,MATCH(ROWS($A$5:A48),'VIP Signups'!$K$5:$K$204,0)),"")</x:f>
      </x:c>
    </x:row>
    <x:row r="49">
      <x:c r="A49" s="19" t="str">
        <x:f>IFERROR(INDEX('VIP Signups'!A$5:A$204,MATCH(ROWS($A$5:A49),'VIP Signups'!$K$5:$K$204,0)),"")</x:f>
      </x:c>
      <x:c r="B49" s="20" t="str">
        <x:f>IFERROR(INDEX('VIP Signups'!D$5:D$204,MATCH(ROWS($A$5:A49),'VIP Signups'!$K$5:$K$204,0)),"")</x:f>
      </x:c>
      <x:c r="C49" s="19" t="str">
        <x:f>IFERROR(INDEX('VIP Signups'!F$5:F$204,MATCH(ROWS($A$5:A49),'VIP Signups'!$K$5:$K$204,0)),"")</x:f>
      </x:c>
      <x:c r="D49" s="19" t="str">
        <x:f>IFERROR(INDEX('VIP Signups'!G$5:G$204,MATCH(ROWS($A$5:A49),'VIP Signups'!$K$5:$K$204,0)),"")</x:f>
      </x:c>
      <x:c r="E49" s="19" t="str">
        <x:f>IFERROR(INDEX('VIP Signups'!C$5:C$204,MATCH(ROWS($A$5:A49),'VIP Signups'!$K$5:$K$204,0)),"")</x:f>
      </x:c>
      <x:c r="F49" s="19" t="str">
        <x:f>IFERROR(INDEX('VIP Signups'!E$5:E$204,MATCH(ROWS($A$5:A49),'VIP Signups'!$K$5:$K$204,0)),"")</x:f>
      </x:c>
      <x:c r="G49" s="19" t="str">
        <x:f>IFERROR(INDEX('VIP Signups'!H$5:H$204,MATCH(ROWS($A$5:A49),'VIP Signups'!$K$5:$K$204,0)),"")</x:f>
      </x:c>
    </x:row>
    <x:row r="50">
      <x:c r="A50" s="19" t="str">
        <x:f>IFERROR(INDEX('VIP Signups'!A$5:A$204,MATCH(ROWS($A$5:A50),'VIP Signups'!$K$5:$K$204,0)),"")</x:f>
      </x:c>
      <x:c r="B50" s="20" t="str">
        <x:f>IFERROR(INDEX('VIP Signups'!D$5:D$204,MATCH(ROWS($A$5:A50),'VIP Signups'!$K$5:$K$204,0)),"")</x:f>
      </x:c>
      <x:c r="C50" s="19" t="str">
        <x:f>IFERROR(INDEX('VIP Signups'!F$5:F$204,MATCH(ROWS($A$5:A50),'VIP Signups'!$K$5:$K$204,0)),"")</x:f>
      </x:c>
      <x:c r="D50" s="19" t="str">
        <x:f>IFERROR(INDEX('VIP Signups'!G$5:G$204,MATCH(ROWS($A$5:A50),'VIP Signups'!$K$5:$K$204,0)),"")</x:f>
      </x:c>
      <x:c r="E50" s="19" t="str">
        <x:f>IFERROR(INDEX('VIP Signups'!C$5:C$204,MATCH(ROWS($A$5:A50),'VIP Signups'!$K$5:$K$204,0)),"")</x:f>
      </x:c>
      <x:c r="F50" s="19" t="str">
        <x:f>IFERROR(INDEX('VIP Signups'!E$5:E$204,MATCH(ROWS($A$5:A50),'VIP Signups'!$K$5:$K$204,0)),"")</x:f>
      </x:c>
      <x:c r="G50" s="19" t="str">
        <x:f>IFERROR(INDEX('VIP Signups'!H$5:H$204,MATCH(ROWS($A$5:A50),'VIP Signups'!$K$5:$K$204,0)),"")</x:f>
      </x:c>
    </x:row>
    <x:row r="51">
      <x:c r="A51" s="19" t="str">
        <x:f>IFERROR(INDEX('VIP Signups'!A$5:A$204,MATCH(ROWS($A$5:A51),'VIP Signups'!$K$5:$K$204,0)),"")</x:f>
      </x:c>
      <x:c r="B51" s="20" t="str">
        <x:f>IFERROR(INDEX('VIP Signups'!D$5:D$204,MATCH(ROWS($A$5:A51),'VIP Signups'!$K$5:$K$204,0)),"")</x:f>
      </x:c>
      <x:c r="C51" s="19" t="str">
        <x:f>IFERROR(INDEX('VIP Signups'!F$5:F$204,MATCH(ROWS($A$5:A51),'VIP Signups'!$K$5:$K$204,0)),"")</x:f>
      </x:c>
      <x:c r="D51" s="19" t="str">
        <x:f>IFERROR(INDEX('VIP Signups'!G$5:G$204,MATCH(ROWS($A$5:A51),'VIP Signups'!$K$5:$K$204,0)),"")</x:f>
      </x:c>
      <x:c r="E51" s="19" t="str">
        <x:f>IFERROR(INDEX('VIP Signups'!C$5:C$204,MATCH(ROWS($A$5:A51),'VIP Signups'!$K$5:$K$204,0)),"")</x:f>
      </x:c>
      <x:c r="F51" s="19" t="str">
        <x:f>IFERROR(INDEX('VIP Signups'!E$5:E$204,MATCH(ROWS($A$5:A51),'VIP Signups'!$K$5:$K$204,0)),"")</x:f>
      </x:c>
      <x:c r="G51" s="19" t="str">
        <x:f>IFERROR(INDEX('VIP Signups'!H$5:H$204,MATCH(ROWS($A$5:A51),'VIP Signups'!$K$5:$K$204,0)),"")</x:f>
      </x:c>
    </x:row>
    <x:row r="52">
      <x:c r="A52" s="19" t="str">
        <x:f>IFERROR(INDEX('VIP Signups'!A$5:A$204,MATCH(ROWS($A$5:A52),'VIP Signups'!$K$5:$K$204,0)),"")</x:f>
      </x:c>
      <x:c r="B52" s="20" t="str">
        <x:f>IFERROR(INDEX('VIP Signups'!D$5:D$204,MATCH(ROWS($A$5:A52),'VIP Signups'!$K$5:$K$204,0)),"")</x:f>
      </x:c>
      <x:c r="C52" s="19" t="str">
        <x:f>IFERROR(INDEX('VIP Signups'!F$5:F$204,MATCH(ROWS($A$5:A52),'VIP Signups'!$K$5:$K$204,0)),"")</x:f>
      </x:c>
      <x:c r="D52" s="19" t="str">
        <x:f>IFERROR(INDEX('VIP Signups'!G$5:G$204,MATCH(ROWS($A$5:A52),'VIP Signups'!$K$5:$K$204,0)),"")</x:f>
      </x:c>
      <x:c r="E52" s="19" t="str">
        <x:f>IFERROR(INDEX('VIP Signups'!C$5:C$204,MATCH(ROWS($A$5:A52),'VIP Signups'!$K$5:$K$204,0)),"")</x:f>
      </x:c>
      <x:c r="F52" s="19" t="str">
        <x:f>IFERROR(INDEX('VIP Signups'!E$5:E$204,MATCH(ROWS($A$5:A52),'VIP Signups'!$K$5:$K$204,0)),"")</x:f>
      </x:c>
      <x:c r="G52" s="19" t="str">
        <x:f>IFERROR(INDEX('VIP Signups'!H$5:H$204,MATCH(ROWS($A$5:A52),'VIP Signups'!$K$5:$K$204,0)),"")</x:f>
      </x:c>
    </x:row>
    <x:row r="53">
      <x:c r="A53" s="19" t="str">
        <x:f>IFERROR(INDEX('VIP Signups'!A$5:A$204,MATCH(ROWS($A$5:A53),'VIP Signups'!$K$5:$K$204,0)),"")</x:f>
      </x:c>
      <x:c r="B53" s="20" t="str">
        <x:f>IFERROR(INDEX('VIP Signups'!D$5:D$204,MATCH(ROWS($A$5:A53),'VIP Signups'!$K$5:$K$204,0)),"")</x:f>
      </x:c>
      <x:c r="C53" s="19" t="str">
        <x:f>IFERROR(INDEX('VIP Signups'!F$5:F$204,MATCH(ROWS($A$5:A53),'VIP Signups'!$K$5:$K$204,0)),"")</x:f>
      </x:c>
      <x:c r="D53" s="19" t="str">
        <x:f>IFERROR(INDEX('VIP Signups'!G$5:G$204,MATCH(ROWS($A$5:A53),'VIP Signups'!$K$5:$K$204,0)),"")</x:f>
      </x:c>
      <x:c r="E53" s="19" t="str">
        <x:f>IFERROR(INDEX('VIP Signups'!C$5:C$204,MATCH(ROWS($A$5:A53),'VIP Signups'!$K$5:$K$204,0)),"")</x:f>
      </x:c>
      <x:c r="F53" s="19" t="str">
        <x:f>IFERROR(INDEX('VIP Signups'!E$5:E$204,MATCH(ROWS($A$5:A53),'VIP Signups'!$K$5:$K$204,0)),"")</x:f>
      </x:c>
      <x:c r="G53" s="19" t="str">
        <x:f>IFERROR(INDEX('VIP Signups'!H$5:H$204,MATCH(ROWS($A$5:A53),'VIP Signups'!$K$5:$K$204,0)),"")</x:f>
      </x:c>
    </x:row>
    <x:row r="54">
      <x:c r="A54" s="19" t="str">
        <x:f>IFERROR(INDEX('VIP Signups'!A$5:A$204,MATCH(ROWS($A$5:A54),'VIP Signups'!$K$5:$K$204,0)),"")</x:f>
      </x:c>
      <x:c r="B54" s="20" t="str">
        <x:f>IFERROR(INDEX('VIP Signups'!D$5:D$204,MATCH(ROWS($A$5:A54),'VIP Signups'!$K$5:$K$204,0)),"")</x:f>
      </x:c>
      <x:c r="C54" s="19" t="str">
        <x:f>IFERROR(INDEX('VIP Signups'!F$5:F$204,MATCH(ROWS($A$5:A54),'VIP Signups'!$K$5:$K$204,0)),"")</x:f>
      </x:c>
      <x:c r="D54" s="19" t="str">
        <x:f>IFERROR(INDEX('VIP Signups'!G$5:G$204,MATCH(ROWS($A$5:A54),'VIP Signups'!$K$5:$K$204,0)),"")</x:f>
      </x:c>
      <x:c r="E54" s="19" t="str">
        <x:f>IFERROR(INDEX('VIP Signups'!C$5:C$204,MATCH(ROWS($A$5:A54),'VIP Signups'!$K$5:$K$204,0)),"")</x:f>
      </x:c>
      <x:c r="F54" s="19" t="str">
        <x:f>IFERROR(INDEX('VIP Signups'!E$5:E$204,MATCH(ROWS($A$5:A54),'VIP Signups'!$K$5:$K$204,0)),"")</x:f>
      </x:c>
      <x:c r="G54" s="19" t="str">
        <x:f>IFERROR(INDEX('VIP Signups'!H$5:H$204,MATCH(ROWS($A$5:A54),'VIP Signups'!$K$5:$K$204,0)),"")</x:f>
      </x:c>
    </x:row>
    <x:row r="55">
      <x:c r="A55" s="19" t="str">
        <x:f>IFERROR(INDEX('VIP Signups'!A$5:A$204,MATCH(ROWS($A$5:A55),'VIP Signups'!$K$5:$K$204,0)),"")</x:f>
      </x:c>
      <x:c r="B55" s="20" t="str">
        <x:f>IFERROR(INDEX('VIP Signups'!D$5:D$204,MATCH(ROWS($A$5:A55),'VIP Signups'!$K$5:$K$204,0)),"")</x:f>
      </x:c>
      <x:c r="C55" s="19" t="str">
        <x:f>IFERROR(INDEX('VIP Signups'!F$5:F$204,MATCH(ROWS($A$5:A55),'VIP Signups'!$K$5:$K$204,0)),"")</x:f>
      </x:c>
      <x:c r="D55" s="19" t="str">
        <x:f>IFERROR(INDEX('VIP Signups'!G$5:G$204,MATCH(ROWS($A$5:A55),'VIP Signups'!$K$5:$K$204,0)),"")</x:f>
      </x:c>
      <x:c r="E55" s="19" t="str">
        <x:f>IFERROR(INDEX('VIP Signups'!C$5:C$204,MATCH(ROWS($A$5:A55),'VIP Signups'!$K$5:$K$204,0)),"")</x:f>
      </x:c>
      <x:c r="F55" s="19" t="str">
        <x:f>IFERROR(INDEX('VIP Signups'!E$5:E$204,MATCH(ROWS($A$5:A55),'VIP Signups'!$K$5:$K$204,0)),"")</x:f>
      </x:c>
      <x:c r="G55" s="19" t="str">
        <x:f>IFERROR(INDEX('VIP Signups'!H$5:H$204,MATCH(ROWS($A$5:A55),'VIP Signups'!$K$5:$K$204,0)),"")</x:f>
      </x:c>
    </x:row>
    <x:row r="56">
      <x:c r="A56" s="19" t="str">
        <x:f>IFERROR(INDEX('VIP Signups'!A$5:A$204,MATCH(ROWS($A$5:A56),'VIP Signups'!$K$5:$K$204,0)),"")</x:f>
      </x:c>
      <x:c r="B56" s="20" t="str">
        <x:f>IFERROR(INDEX('VIP Signups'!D$5:D$204,MATCH(ROWS($A$5:A56),'VIP Signups'!$K$5:$K$204,0)),"")</x:f>
      </x:c>
      <x:c r="C56" s="19" t="str">
        <x:f>IFERROR(INDEX('VIP Signups'!F$5:F$204,MATCH(ROWS($A$5:A56),'VIP Signups'!$K$5:$K$204,0)),"")</x:f>
      </x:c>
      <x:c r="D56" s="19" t="str">
        <x:f>IFERROR(INDEX('VIP Signups'!G$5:G$204,MATCH(ROWS($A$5:A56),'VIP Signups'!$K$5:$K$204,0)),"")</x:f>
      </x:c>
      <x:c r="E56" s="19" t="str">
        <x:f>IFERROR(INDEX('VIP Signups'!C$5:C$204,MATCH(ROWS($A$5:A56),'VIP Signups'!$K$5:$K$204,0)),"")</x:f>
      </x:c>
      <x:c r="F56" s="19" t="str">
        <x:f>IFERROR(INDEX('VIP Signups'!E$5:E$204,MATCH(ROWS($A$5:A56),'VIP Signups'!$K$5:$K$204,0)),"")</x:f>
      </x:c>
      <x:c r="G56" s="19" t="str">
        <x:f>IFERROR(INDEX('VIP Signups'!H$5:H$204,MATCH(ROWS($A$5:A56),'VIP Signups'!$K$5:$K$204,0)),"")</x:f>
      </x:c>
    </x:row>
    <x:row r="57">
      <x:c r="A57" s="19" t="str">
        <x:f>IFERROR(INDEX('VIP Signups'!A$5:A$204,MATCH(ROWS($A$5:A57),'VIP Signups'!$K$5:$K$204,0)),"")</x:f>
      </x:c>
      <x:c r="B57" s="20" t="str">
        <x:f>IFERROR(INDEX('VIP Signups'!D$5:D$204,MATCH(ROWS($A$5:A57),'VIP Signups'!$K$5:$K$204,0)),"")</x:f>
      </x:c>
      <x:c r="C57" s="19" t="str">
        <x:f>IFERROR(INDEX('VIP Signups'!F$5:F$204,MATCH(ROWS($A$5:A57),'VIP Signups'!$K$5:$K$204,0)),"")</x:f>
      </x:c>
      <x:c r="D57" s="19" t="str">
        <x:f>IFERROR(INDEX('VIP Signups'!G$5:G$204,MATCH(ROWS($A$5:A57),'VIP Signups'!$K$5:$K$204,0)),"")</x:f>
      </x:c>
      <x:c r="E57" s="19" t="str">
        <x:f>IFERROR(INDEX('VIP Signups'!C$5:C$204,MATCH(ROWS($A$5:A57),'VIP Signups'!$K$5:$K$204,0)),"")</x:f>
      </x:c>
      <x:c r="F57" s="19" t="str">
        <x:f>IFERROR(INDEX('VIP Signups'!E$5:E$204,MATCH(ROWS($A$5:A57),'VIP Signups'!$K$5:$K$204,0)),"")</x:f>
      </x:c>
      <x:c r="G57" s="19" t="str">
        <x:f>IFERROR(INDEX('VIP Signups'!H$5:H$204,MATCH(ROWS($A$5:A57),'VIP Signups'!$K$5:$K$204,0)),"")</x:f>
      </x:c>
    </x:row>
    <x:row r="58">
      <x:c r="A58" s="19" t="str">
        <x:f>IFERROR(INDEX('VIP Signups'!A$5:A$204,MATCH(ROWS($A$5:A58),'VIP Signups'!$K$5:$K$204,0)),"")</x:f>
      </x:c>
      <x:c r="B58" s="20" t="str">
        <x:f>IFERROR(INDEX('VIP Signups'!D$5:D$204,MATCH(ROWS($A$5:A58),'VIP Signups'!$K$5:$K$204,0)),"")</x:f>
      </x:c>
      <x:c r="C58" s="19" t="str">
        <x:f>IFERROR(INDEX('VIP Signups'!F$5:F$204,MATCH(ROWS($A$5:A58),'VIP Signups'!$K$5:$K$204,0)),"")</x:f>
      </x:c>
      <x:c r="D58" s="19" t="str">
        <x:f>IFERROR(INDEX('VIP Signups'!G$5:G$204,MATCH(ROWS($A$5:A58),'VIP Signups'!$K$5:$K$204,0)),"")</x:f>
      </x:c>
      <x:c r="E58" s="19" t="str">
        <x:f>IFERROR(INDEX('VIP Signups'!C$5:C$204,MATCH(ROWS($A$5:A58),'VIP Signups'!$K$5:$K$204,0)),"")</x:f>
      </x:c>
      <x:c r="F58" s="19" t="str">
        <x:f>IFERROR(INDEX('VIP Signups'!E$5:E$204,MATCH(ROWS($A$5:A58),'VIP Signups'!$K$5:$K$204,0)),"")</x:f>
      </x:c>
      <x:c r="G58" s="19" t="str">
        <x:f>IFERROR(INDEX('VIP Signups'!H$5:H$204,MATCH(ROWS($A$5:A58),'VIP Signups'!$K$5:$K$204,0)),"")</x:f>
      </x:c>
    </x:row>
    <x:row r="59">
      <x:c r="A59" s="19" t="str">
        <x:f>IFERROR(INDEX('VIP Signups'!A$5:A$204,MATCH(ROWS($A$5:A59),'VIP Signups'!$K$5:$K$204,0)),"")</x:f>
      </x:c>
      <x:c r="B59" s="20" t="str">
        <x:f>IFERROR(INDEX('VIP Signups'!D$5:D$204,MATCH(ROWS($A$5:A59),'VIP Signups'!$K$5:$K$204,0)),"")</x:f>
      </x:c>
      <x:c r="C59" s="19" t="str">
        <x:f>IFERROR(INDEX('VIP Signups'!F$5:F$204,MATCH(ROWS($A$5:A59),'VIP Signups'!$K$5:$K$204,0)),"")</x:f>
      </x:c>
      <x:c r="D59" s="19" t="str">
        <x:f>IFERROR(INDEX('VIP Signups'!G$5:G$204,MATCH(ROWS($A$5:A59),'VIP Signups'!$K$5:$K$204,0)),"")</x:f>
      </x:c>
      <x:c r="E59" s="19" t="str">
        <x:f>IFERROR(INDEX('VIP Signups'!C$5:C$204,MATCH(ROWS($A$5:A59),'VIP Signups'!$K$5:$K$204,0)),"")</x:f>
      </x:c>
      <x:c r="F59" s="19" t="str">
        <x:f>IFERROR(INDEX('VIP Signups'!E$5:E$204,MATCH(ROWS($A$5:A59),'VIP Signups'!$K$5:$K$204,0)),"")</x:f>
      </x:c>
      <x:c r="G59" s="19" t="str">
        <x:f>IFERROR(INDEX('VIP Signups'!H$5:H$204,MATCH(ROWS($A$5:A59),'VIP Signups'!$K$5:$K$204,0)),"")</x:f>
      </x:c>
    </x:row>
    <x:row r="60">
      <x:c r="A60" s="19" t="str">
        <x:f>IFERROR(INDEX('VIP Signups'!A$5:A$204,MATCH(ROWS($A$5:A60),'VIP Signups'!$K$5:$K$204,0)),"")</x:f>
      </x:c>
      <x:c r="B60" s="20" t="str">
        <x:f>IFERROR(INDEX('VIP Signups'!D$5:D$204,MATCH(ROWS($A$5:A60),'VIP Signups'!$K$5:$K$204,0)),"")</x:f>
      </x:c>
      <x:c r="C60" s="19" t="str">
        <x:f>IFERROR(INDEX('VIP Signups'!F$5:F$204,MATCH(ROWS($A$5:A60),'VIP Signups'!$K$5:$K$204,0)),"")</x:f>
      </x:c>
      <x:c r="D60" s="19" t="str">
        <x:f>IFERROR(INDEX('VIP Signups'!G$5:G$204,MATCH(ROWS($A$5:A60),'VIP Signups'!$K$5:$K$204,0)),"")</x:f>
      </x:c>
      <x:c r="E60" s="19" t="str">
        <x:f>IFERROR(INDEX('VIP Signups'!C$5:C$204,MATCH(ROWS($A$5:A60),'VIP Signups'!$K$5:$K$204,0)),"")</x:f>
      </x:c>
      <x:c r="F60" s="19" t="str">
        <x:f>IFERROR(INDEX('VIP Signups'!E$5:E$204,MATCH(ROWS($A$5:A60),'VIP Signups'!$K$5:$K$204,0)),"")</x:f>
      </x:c>
      <x:c r="G60" s="19" t="str">
        <x:f>IFERROR(INDEX('VIP Signups'!H$5:H$204,MATCH(ROWS($A$5:A60),'VIP Signups'!$K$5:$K$204,0)),"")</x:f>
      </x:c>
    </x:row>
    <x:row r="61">
      <x:c r="A61" s="19" t="str">
        <x:f>IFERROR(INDEX('VIP Signups'!A$5:A$204,MATCH(ROWS($A$5:A61),'VIP Signups'!$K$5:$K$204,0)),"")</x:f>
      </x:c>
      <x:c r="B61" s="20" t="str">
        <x:f>IFERROR(INDEX('VIP Signups'!D$5:D$204,MATCH(ROWS($A$5:A61),'VIP Signups'!$K$5:$K$204,0)),"")</x:f>
      </x:c>
      <x:c r="C61" s="19" t="str">
        <x:f>IFERROR(INDEX('VIP Signups'!F$5:F$204,MATCH(ROWS($A$5:A61),'VIP Signups'!$K$5:$K$204,0)),"")</x:f>
      </x:c>
      <x:c r="D61" s="19" t="str">
        <x:f>IFERROR(INDEX('VIP Signups'!G$5:G$204,MATCH(ROWS($A$5:A61),'VIP Signups'!$K$5:$K$204,0)),"")</x:f>
      </x:c>
      <x:c r="E61" s="19" t="str">
        <x:f>IFERROR(INDEX('VIP Signups'!C$5:C$204,MATCH(ROWS($A$5:A61),'VIP Signups'!$K$5:$K$204,0)),"")</x:f>
      </x:c>
      <x:c r="F61" s="19" t="str">
        <x:f>IFERROR(INDEX('VIP Signups'!E$5:E$204,MATCH(ROWS($A$5:A61),'VIP Signups'!$K$5:$K$204,0)),"")</x:f>
      </x:c>
      <x:c r="G61" s="19" t="str">
        <x:f>IFERROR(INDEX('VIP Signups'!H$5:H$204,MATCH(ROWS($A$5:A61),'VIP Signups'!$K$5:$K$204,0)),"")</x:f>
      </x:c>
    </x:row>
    <x:row r="62">
      <x:c r="A62" s="19" t="str">
        <x:f>IFERROR(INDEX('VIP Signups'!A$5:A$204,MATCH(ROWS($A$5:A62),'VIP Signups'!$K$5:$K$204,0)),"")</x:f>
      </x:c>
      <x:c r="B62" s="20" t="str">
        <x:f>IFERROR(INDEX('VIP Signups'!D$5:D$204,MATCH(ROWS($A$5:A62),'VIP Signups'!$K$5:$K$204,0)),"")</x:f>
      </x:c>
      <x:c r="C62" s="19" t="str">
        <x:f>IFERROR(INDEX('VIP Signups'!F$5:F$204,MATCH(ROWS($A$5:A62),'VIP Signups'!$K$5:$K$204,0)),"")</x:f>
      </x:c>
      <x:c r="D62" s="19" t="str">
        <x:f>IFERROR(INDEX('VIP Signups'!G$5:G$204,MATCH(ROWS($A$5:A62),'VIP Signups'!$K$5:$K$204,0)),"")</x:f>
      </x:c>
      <x:c r="E62" s="19" t="str">
        <x:f>IFERROR(INDEX('VIP Signups'!C$5:C$204,MATCH(ROWS($A$5:A62),'VIP Signups'!$K$5:$K$204,0)),"")</x:f>
      </x:c>
      <x:c r="F62" s="19" t="str">
        <x:f>IFERROR(INDEX('VIP Signups'!E$5:E$204,MATCH(ROWS($A$5:A62),'VIP Signups'!$K$5:$K$204,0)),"")</x:f>
      </x:c>
      <x:c r="G62" s="19" t="str">
        <x:f>IFERROR(INDEX('VIP Signups'!H$5:H$204,MATCH(ROWS($A$5:A62),'VIP Signups'!$K$5:$K$204,0)),"")</x:f>
      </x:c>
    </x:row>
    <x:row r="63">
      <x:c r="A63" s="19" t="str">
        <x:f>IFERROR(INDEX('VIP Signups'!A$5:A$204,MATCH(ROWS($A$5:A63),'VIP Signups'!$K$5:$K$204,0)),"")</x:f>
      </x:c>
      <x:c r="B63" s="20" t="str">
        <x:f>IFERROR(INDEX('VIP Signups'!D$5:D$204,MATCH(ROWS($A$5:A63),'VIP Signups'!$K$5:$K$204,0)),"")</x:f>
      </x:c>
      <x:c r="C63" s="19" t="str">
        <x:f>IFERROR(INDEX('VIP Signups'!F$5:F$204,MATCH(ROWS($A$5:A63),'VIP Signups'!$K$5:$K$204,0)),"")</x:f>
      </x:c>
      <x:c r="D63" s="19" t="str">
        <x:f>IFERROR(INDEX('VIP Signups'!G$5:G$204,MATCH(ROWS($A$5:A63),'VIP Signups'!$K$5:$K$204,0)),"")</x:f>
      </x:c>
      <x:c r="E63" s="19" t="str">
        <x:f>IFERROR(INDEX('VIP Signups'!C$5:C$204,MATCH(ROWS($A$5:A63),'VIP Signups'!$K$5:$K$204,0)),"")</x:f>
      </x:c>
      <x:c r="F63" s="19" t="str">
        <x:f>IFERROR(INDEX('VIP Signups'!E$5:E$204,MATCH(ROWS($A$5:A63),'VIP Signups'!$K$5:$K$204,0)),"")</x:f>
      </x:c>
      <x:c r="G63" s="19" t="str">
        <x:f>IFERROR(INDEX('VIP Signups'!H$5:H$204,MATCH(ROWS($A$5:A63),'VIP Signups'!$K$5:$K$204,0)),"")</x:f>
      </x:c>
    </x:row>
    <x:row r="64">
      <x:c r="A64" s="19" t="str">
        <x:f>IFERROR(INDEX('VIP Signups'!A$5:A$204,MATCH(ROWS($A$5:A64),'VIP Signups'!$K$5:$K$204,0)),"")</x:f>
      </x:c>
      <x:c r="B64" s="20" t="str">
        <x:f>IFERROR(INDEX('VIP Signups'!D$5:D$204,MATCH(ROWS($A$5:A64),'VIP Signups'!$K$5:$K$204,0)),"")</x:f>
      </x:c>
      <x:c r="C64" s="19" t="str">
        <x:f>IFERROR(INDEX('VIP Signups'!F$5:F$204,MATCH(ROWS($A$5:A64),'VIP Signups'!$K$5:$K$204,0)),"")</x:f>
      </x:c>
      <x:c r="D64" s="19" t="str">
        <x:f>IFERROR(INDEX('VIP Signups'!G$5:G$204,MATCH(ROWS($A$5:A64),'VIP Signups'!$K$5:$K$204,0)),"")</x:f>
      </x:c>
      <x:c r="E64" s="19" t="str">
        <x:f>IFERROR(INDEX('VIP Signups'!C$5:C$204,MATCH(ROWS($A$5:A64),'VIP Signups'!$K$5:$K$204,0)),"")</x:f>
      </x:c>
      <x:c r="F64" s="19" t="str">
        <x:f>IFERROR(INDEX('VIP Signups'!E$5:E$204,MATCH(ROWS($A$5:A64),'VIP Signups'!$K$5:$K$204,0)),"")</x:f>
      </x:c>
      <x:c r="G64" s="19" t="str">
        <x:f>IFERROR(INDEX('VIP Signups'!H$5:H$204,MATCH(ROWS($A$5:A64),'VIP Signups'!$K$5:$K$204,0)),"")</x:f>
      </x:c>
    </x:row>
    <x:row r="65">
      <x:c r="A65" s="19" t="str">
        <x:f>IFERROR(INDEX('VIP Signups'!A$5:A$204,MATCH(ROWS($A$5:A65),'VIP Signups'!$K$5:$K$204,0)),"")</x:f>
      </x:c>
      <x:c r="B65" s="20" t="str">
        <x:f>IFERROR(INDEX('VIP Signups'!D$5:D$204,MATCH(ROWS($A$5:A65),'VIP Signups'!$K$5:$K$204,0)),"")</x:f>
      </x:c>
      <x:c r="C65" s="19" t="str">
        <x:f>IFERROR(INDEX('VIP Signups'!F$5:F$204,MATCH(ROWS($A$5:A65),'VIP Signups'!$K$5:$K$204,0)),"")</x:f>
      </x:c>
      <x:c r="D65" s="19" t="str">
        <x:f>IFERROR(INDEX('VIP Signups'!G$5:G$204,MATCH(ROWS($A$5:A65),'VIP Signups'!$K$5:$K$204,0)),"")</x:f>
      </x:c>
      <x:c r="E65" s="19" t="str">
        <x:f>IFERROR(INDEX('VIP Signups'!C$5:C$204,MATCH(ROWS($A$5:A65),'VIP Signups'!$K$5:$K$204,0)),"")</x:f>
      </x:c>
      <x:c r="F65" s="19" t="str">
        <x:f>IFERROR(INDEX('VIP Signups'!E$5:E$204,MATCH(ROWS($A$5:A65),'VIP Signups'!$K$5:$K$204,0)),"")</x:f>
      </x:c>
      <x:c r="G65" s="19" t="str">
        <x:f>IFERROR(INDEX('VIP Signups'!H$5:H$204,MATCH(ROWS($A$5:A65),'VIP Signups'!$K$5:$K$204,0)),"")</x:f>
      </x:c>
    </x:row>
    <x:row r="66">
      <x:c r="A66" s="19" t="str">
        <x:f>IFERROR(INDEX('VIP Signups'!A$5:A$204,MATCH(ROWS($A$5:A66),'VIP Signups'!$K$5:$K$204,0)),"")</x:f>
      </x:c>
      <x:c r="B66" s="20" t="str">
        <x:f>IFERROR(INDEX('VIP Signups'!D$5:D$204,MATCH(ROWS($A$5:A66),'VIP Signups'!$K$5:$K$204,0)),"")</x:f>
      </x:c>
      <x:c r="C66" s="19" t="str">
        <x:f>IFERROR(INDEX('VIP Signups'!F$5:F$204,MATCH(ROWS($A$5:A66),'VIP Signups'!$K$5:$K$204,0)),"")</x:f>
      </x:c>
      <x:c r="D66" s="19" t="str">
        <x:f>IFERROR(INDEX('VIP Signups'!G$5:G$204,MATCH(ROWS($A$5:A66),'VIP Signups'!$K$5:$K$204,0)),"")</x:f>
      </x:c>
      <x:c r="E66" s="19" t="str">
        <x:f>IFERROR(INDEX('VIP Signups'!C$5:C$204,MATCH(ROWS($A$5:A66),'VIP Signups'!$K$5:$K$204,0)),"")</x:f>
      </x:c>
      <x:c r="F66" s="19" t="str">
        <x:f>IFERROR(INDEX('VIP Signups'!E$5:E$204,MATCH(ROWS($A$5:A66),'VIP Signups'!$K$5:$K$204,0)),"")</x:f>
      </x:c>
      <x:c r="G66" s="19" t="str">
        <x:f>IFERROR(INDEX('VIP Signups'!H$5:H$204,MATCH(ROWS($A$5:A66),'VIP Signups'!$K$5:$K$204,0)),"")</x:f>
      </x:c>
    </x:row>
    <x:row r="67">
      <x:c r="A67" s="19" t="str">
        <x:f>IFERROR(INDEX('VIP Signups'!A$5:A$204,MATCH(ROWS($A$5:A67),'VIP Signups'!$K$5:$K$204,0)),"")</x:f>
      </x:c>
      <x:c r="B67" s="20" t="str">
        <x:f>IFERROR(INDEX('VIP Signups'!D$5:D$204,MATCH(ROWS($A$5:A67),'VIP Signups'!$K$5:$K$204,0)),"")</x:f>
      </x:c>
      <x:c r="C67" s="19" t="str">
        <x:f>IFERROR(INDEX('VIP Signups'!F$5:F$204,MATCH(ROWS($A$5:A67),'VIP Signups'!$K$5:$K$204,0)),"")</x:f>
      </x:c>
      <x:c r="D67" s="19" t="str">
        <x:f>IFERROR(INDEX('VIP Signups'!G$5:G$204,MATCH(ROWS($A$5:A67),'VIP Signups'!$K$5:$K$204,0)),"")</x:f>
      </x:c>
      <x:c r="E67" s="19" t="str">
        <x:f>IFERROR(INDEX('VIP Signups'!C$5:C$204,MATCH(ROWS($A$5:A67),'VIP Signups'!$K$5:$K$204,0)),"")</x:f>
      </x:c>
      <x:c r="F67" s="19" t="str">
        <x:f>IFERROR(INDEX('VIP Signups'!E$5:E$204,MATCH(ROWS($A$5:A67),'VIP Signups'!$K$5:$K$204,0)),"")</x:f>
      </x:c>
      <x:c r="G67" s="19" t="str">
        <x:f>IFERROR(INDEX('VIP Signups'!H$5:H$204,MATCH(ROWS($A$5:A67),'VIP Signups'!$K$5:$K$204,0)),"")</x:f>
      </x:c>
    </x:row>
    <x:row r="68">
      <x:c r="A68" s="19" t="str">
        <x:f>IFERROR(INDEX('VIP Signups'!A$5:A$204,MATCH(ROWS($A$5:A68),'VIP Signups'!$K$5:$K$204,0)),"")</x:f>
      </x:c>
      <x:c r="B68" s="20" t="str">
        <x:f>IFERROR(INDEX('VIP Signups'!D$5:D$204,MATCH(ROWS($A$5:A68),'VIP Signups'!$K$5:$K$204,0)),"")</x:f>
      </x:c>
      <x:c r="C68" s="19" t="str">
        <x:f>IFERROR(INDEX('VIP Signups'!F$5:F$204,MATCH(ROWS($A$5:A68),'VIP Signups'!$K$5:$K$204,0)),"")</x:f>
      </x:c>
      <x:c r="D68" s="19" t="str">
        <x:f>IFERROR(INDEX('VIP Signups'!G$5:G$204,MATCH(ROWS($A$5:A68),'VIP Signups'!$K$5:$K$204,0)),"")</x:f>
      </x:c>
      <x:c r="E68" s="19" t="str">
        <x:f>IFERROR(INDEX('VIP Signups'!C$5:C$204,MATCH(ROWS($A$5:A68),'VIP Signups'!$K$5:$K$204,0)),"")</x:f>
      </x:c>
      <x:c r="F68" s="19" t="str">
        <x:f>IFERROR(INDEX('VIP Signups'!E$5:E$204,MATCH(ROWS($A$5:A68),'VIP Signups'!$K$5:$K$204,0)),"")</x:f>
      </x:c>
      <x:c r="G68" s="19" t="str">
        <x:f>IFERROR(INDEX('VIP Signups'!H$5:H$204,MATCH(ROWS($A$5:A68),'VIP Signups'!$K$5:$K$204,0)),"")</x:f>
      </x:c>
    </x:row>
    <x:row r="69">
      <x:c r="A69" s="19" t="str">
        <x:f>IFERROR(INDEX('VIP Signups'!A$5:A$204,MATCH(ROWS($A$5:A69),'VIP Signups'!$K$5:$K$204,0)),"")</x:f>
      </x:c>
      <x:c r="B69" s="20" t="str">
        <x:f>IFERROR(INDEX('VIP Signups'!D$5:D$204,MATCH(ROWS($A$5:A69),'VIP Signups'!$K$5:$K$204,0)),"")</x:f>
      </x:c>
      <x:c r="C69" s="19" t="str">
        <x:f>IFERROR(INDEX('VIP Signups'!F$5:F$204,MATCH(ROWS($A$5:A69),'VIP Signups'!$K$5:$K$204,0)),"")</x:f>
      </x:c>
      <x:c r="D69" s="19" t="str">
        <x:f>IFERROR(INDEX('VIP Signups'!G$5:G$204,MATCH(ROWS($A$5:A69),'VIP Signups'!$K$5:$K$204,0)),"")</x:f>
      </x:c>
      <x:c r="E69" s="19" t="str">
        <x:f>IFERROR(INDEX('VIP Signups'!C$5:C$204,MATCH(ROWS($A$5:A69),'VIP Signups'!$K$5:$K$204,0)),"")</x:f>
      </x:c>
      <x:c r="F69" s="19" t="str">
        <x:f>IFERROR(INDEX('VIP Signups'!E$5:E$204,MATCH(ROWS($A$5:A69),'VIP Signups'!$K$5:$K$204,0)),"")</x:f>
      </x:c>
      <x:c r="G69" s="19" t="str">
        <x:f>IFERROR(INDEX('VIP Signups'!H$5:H$204,MATCH(ROWS($A$5:A69),'VIP Signups'!$K$5:$K$204,0)),"")</x:f>
      </x:c>
    </x:row>
    <x:row r="70">
      <x:c r="A70" s="19" t="str">
        <x:f>IFERROR(INDEX('VIP Signups'!A$5:A$204,MATCH(ROWS($A$5:A70),'VIP Signups'!$K$5:$K$204,0)),"")</x:f>
      </x:c>
      <x:c r="B70" s="20" t="str">
        <x:f>IFERROR(INDEX('VIP Signups'!D$5:D$204,MATCH(ROWS($A$5:A70),'VIP Signups'!$K$5:$K$204,0)),"")</x:f>
      </x:c>
      <x:c r="C70" s="19" t="str">
        <x:f>IFERROR(INDEX('VIP Signups'!F$5:F$204,MATCH(ROWS($A$5:A70),'VIP Signups'!$K$5:$K$204,0)),"")</x:f>
      </x:c>
      <x:c r="D70" s="19" t="str">
        <x:f>IFERROR(INDEX('VIP Signups'!G$5:G$204,MATCH(ROWS($A$5:A70),'VIP Signups'!$K$5:$K$204,0)),"")</x:f>
      </x:c>
      <x:c r="E70" s="19" t="str">
        <x:f>IFERROR(INDEX('VIP Signups'!C$5:C$204,MATCH(ROWS($A$5:A70),'VIP Signups'!$K$5:$K$204,0)),"")</x:f>
      </x:c>
      <x:c r="F70" s="19" t="str">
        <x:f>IFERROR(INDEX('VIP Signups'!E$5:E$204,MATCH(ROWS($A$5:A70),'VIP Signups'!$K$5:$K$204,0)),"")</x:f>
      </x:c>
      <x:c r="G70" s="19" t="str">
        <x:f>IFERROR(INDEX('VIP Signups'!H$5:H$204,MATCH(ROWS($A$5:A70),'VIP Signups'!$K$5:$K$204,0)),"")</x:f>
      </x:c>
    </x:row>
    <x:row r="71">
      <x:c r="A71" s="19" t="str">
        <x:f>IFERROR(INDEX('VIP Signups'!A$5:A$204,MATCH(ROWS($A$5:A71),'VIP Signups'!$K$5:$K$204,0)),"")</x:f>
      </x:c>
      <x:c r="B71" s="20" t="str">
        <x:f>IFERROR(INDEX('VIP Signups'!D$5:D$204,MATCH(ROWS($A$5:A71),'VIP Signups'!$K$5:$K$204,0)),"")</x:f>
      </x:c>
      <x:c r="C71" s="19" t="str">
        <x:f>IFERROR(INDEX('VIP Signups'!F$5:F$204,MATCH(ROWS($A$5:A71),'VIP Signups'!$K$5:$K$204,0)),"")</x:f>
      </x:c>
      <x:c r="D71" s="19" t="str">
        <x:f>IFERROR(INDEX('VIP Signups'!G$5:G$204,MATCH(ROWS($A$5:A71),'VIP Signups'!$K$5:$K$204,0)),"")</x:f>
      </x:c>
      <x:c r="E71" s="19" t="str">
        <x:f>IFERROR(INDEX('VIP Signups'!C$5:C$204,MATCH(ROWS($A$5:A71),'VIP Signups'!$K$5:$K$204,0)),"")</x:f>
      </x:c>
      <x:c r="F71" s="19" t="str">
        <x:f>IFERROR(INDEX('VIP Signups'!E$5:E$204,MATCH(ROWS($A$5:A71),'VIP Signups'!$K$5:$K$204,0)),"")</x:f>
      </x:c>
      <x:c r="G71" s="19" t="str">
        <x:f>IFERROR(INDEX('VIP Signups'!H$5:H$204,MATCH(ROWS($A$5:A71),'VIP Signups'!$K$5:$K$204,0)),"")</x:f>
      </x:c>
    </x:row>
    <x:row r="72">
      <x:c r="A72" s="19" t="str">
        <x:f>IFERROR(INDEX('VIP Signups'!A$5:A$204,MATCH(ROWS($A$5:A72),'VIP Signups'!$K$5:$K$204,0)),"")</x:f>
      </x:c>
      <x:c r="B72" s="20" t="str">
        <x:f>IFERROR(INDEX('VIP Signups'!D$5:D$204,MATCH(ROWS($A$5:A72),'VIP Signups'!$K$5:$K$204,0)),"")</x:f>
      </x:c>
      <x:c r="C72" s="19" t="str">
        <x:f>IFERROR(INDEX('VIP Signups'!F$5:F$204,MATCH(ROWS($A$5:A72),'VIP Signups'!$K$5:$K$204,0)),"")</x:f>
      </x:c>
      <x:c r="D72" s="19" t="str">
        <x:f>IFERROR(INDEX('VIP Signups'!G$5:G$204,MATCH(ROWS($A$5:A72),'VIP Signups'!$K$5:$K$204,0)),"")</x:f>
      </x:c>
      <x:c r="E72" s="19" t="str">
        <x:f>IFERROR(INDEX('VIP Signups'!C$5:C$204,MATCH(ROWS($A$5:A72),'VIP Signups'!$K$5:$K$204,0)),"")</x:f>
      </x:c>
      <x:c r="F72" s="19" t="str">
        <x:f>IFERROR(INDEX('VIP Signups'!E$5:E$204,MATCH(ROWS($A$5:A72),'VIP Signups'!$K$5:$K$204,0)),"")</x:f>
      </x:c>
      <x:c r="G72" s="19" t="str">
        <x:f>IFERROR(INDEX('VIP Signups'!H$5:H$204,MATCH(ROWS($A$5:A72),'VIP Signups'!$K$5:$K$204,0)),"")</x:f>
      </x:c>
    </x:row>
    <x:row r="73">
      <x:c r="A73" s="19" t="str">
        <x:f>IFERROR(INDEX('VIP Signups'!A$5:A$204,MATCH(ROWS($A$5:A73),'VIP Signups'!$K$5:$K$204,0)),"")</x:f>
      </x:c>
      <x:c r="B73" s="20" t="str">
        <x:f>IFERROR(INDEX('VIP Signups'!D$5:D$204,MATCH(ROWS($A$5:A73),'VIP Signups'!$K$5:$K$204,0)),"")</x:f>
      </x:c>
      <x:c r="C73" s="19" t="str">
        <x:f>IFERROR(INDEX('VIP Signups'!F$5:F$204,MATCH(ROWS($A$5:A73),'VIP Signups'!$K$5:$K$204,0)),"")</x:f>
      </x:c>
      <x:c r="D73" s="19" t="str">
        <x:f>IFERROR(INDEX('VIP Signups'!G$5:G$204,MATCH(ROWS($A$5:A73),'VIP Signups'!$K$5:$K$204,0)),"")</x:f>
      </x:c>
      <x:c r="E73" s="19" t="str">
        <x:f>IFERROR(INDEX('VIP Signups'!C$5:C$204,MATCH(ROWS($A$5:A73),'VIP Signups'!$K$5:$K$204,0)),"")</x:f>
      </x:c>
      <x:c r="F73" s="19" t="str">
        <x:f>IFERROR(INDEX('VIP Signups'!E$5:E$204,MATCH(ROWS($A$5:A73),'VIP Signups'!$K$5:$K$204,0)),"")</x:f>
      </x:c>
      <x:c r="G73" s="19" t="str">
        <x:f>IFERROR(INDEX('VIP Signups'!H$5:H$204,MATCH(ROWS($A$5:A73),'VIP Signups'!$K$5:$K$204,0)),"")</x:f>
      </x:c>
    </x:row>
    <x:row r="74">
      <x:c r="A74" s="19" t="str">
        <x:f>IFERROR(INDEX('VIP Signups'!A$5:A$204,MATCH(ROWS($A$5:A74),'VIP Signups'!$K$5:$K$204,0)),"")</x:f>
      </x:c>
      <x:c r="B74" s="20" t="str">
        <x:f>IFERROR(INDEX('VIP Signups'!D$5:D$204,MATCH(ROWS($A$5:A74),'VIP Signups'!$K$5:$K$204,0)),"")</x:f>
      </x:c>
      <x:c r="C74" s="19" t="str">
        <x:f>IFERROR(INDEX('VIP Signups'!F$5:F$204,MATCH(ROWS($A$5:A74),'VIP Signups'!$K$5:$K$204,0)),"")</x:f>
      </x:c>
      <x:c r="D74" s="19" t="str">
        <x:f>IFERROR(INDEX('VIP Signups'!G$5:G$204,MATCH(ROWS($A$5:A74),'VIP Signups'!$K$5:$K$204,0)),"")</x:f>
      </x:c>
      <x:c r="E74" s="19" t="str">
        <x:f>IFERROR(INDEX('VIP Signups'!C$5:C$204,MATCH(ROWS($A$5:A74),'VIP Signups'!$K$5:$K$204,0)),"")</x:f>
      </x:c>
      <x:c r="F74" s="19" t="str">
        <x:f>IFERROR(INDEX('VIP Signups'!E$5:E$204,MATCH(ROWS($A$5:A74),'VIP Signups'!$K$5:$K$204,0)),"")</x:f>
      </x:c>
      <x:c r="G74" s="19" t="str">
        <x:f>IFERROR(INDEX('VIP Signups'!H$5:H$204,MATCH(ROWS($A$5:A74),'VIP Signups'!$K$5:$K$204,0)),"")</x:f>
      </x:c>
    </x:row>
    <x:row r="75">
      <x:c r="A75" s="19" t="str">
        <x:f>IFERROR(INDEX('VIP Signups'!A$5:A$204,MATCH(ROWS($A$5:A75),'VIP Signups'!$K$5:$K$204,0)),"")</x:f>
      </x:c>
      <x:c r="B75" s="20" t="str">
        <x:f>IFERROR(INDEX('VIP Signups'!D$5:D$204,MATCH(ROWS($A$5:A75),'VIP Signups'!$K$5:$K$204,0)),"")</x:f>
      </x:c>
      <x:c r="C75" s="19" t="str">
        <x:f>IFERROR(INDEX('VIP Signups'!F$5:F$204,MATCH(ROWS($A$5:A75),'VIP Signups'!$K$5:$K$204,0)),"")</x:f>
      </x:c>
      <x:c r="D75" s="19" t="str">
        <x:f>IFERROR(INDEX('VIP Signups'!G$5:G$204,MATCH(ROWS($A$5:A75),'VIP Signups'!$K$5:$K$204,0)),"")</x:f>
      </x:c>
      <x:c r="E75" s="19" t="str">
        <x:f>IFERROR(INDEX('VIP Signups'!C$5:C$204,MATCH(ROWS($A$5:A75),'VIP Signups'!$K$5:$K$204,0)),"")</x:f>
      </x:c>
      <x:c r="F75" s="19" t="str">
        <x:f>IFERROR(INDEX('VIP Signups'!E$5:E$204,MATCH(ROWS($A$5:A75),'VIP Signups'!$K$5:$K$204,0)),"")</x:f>
      </x:c>
      <x:c r="G75" s="19" t="str">
        <x:f>IFERROR(INDEX('VIP Signups'!H$5:H$204,MATCH(ROWS($A$5:A75),'VIP Signups'!$K$5:$K$204,0)),"")</x:f>
      </x:c>
    </x:row>
    <x:row r="76">
      <x:c r="A76" s="19" t="str">
        <x:f>IFERROR(INDEX('VIP Signups'!A$5:A$204,MATCH(ROWS($A$5:A76),'VIP Signups'!$K$5:$K$204,0)),"")</x:f>
      </x:c>
      <x:c r="B76" s="20" t="str">
        <x:f>IFERROR(INDEX('VIP Signups'!D$5:D$204,MATCH(ROWS($A$5:A76),'VIP Signups'!$K$5:$K$204,0)),"")</x:f>
      </x:c>
      <x:c r="C76" s="19" t="str">
        <x:f>IFERROR(INDEX('VIP Signups'!F$5:F$204,MATCH(ROWS($A$5:A76),'VIP Signups'!$K$5:$K$204,0)),"")</x:f>
      </x:c>
      <x:c r="D76" s="19" t="str">
        <x:f>IFERROR(INDEX('VIP Signups'!G$5:G$204,MATCH(ROWS($A$5:A76),'VIP Signups'!$K$5:$K$204,0)),"")</x:f>
      </x:c>
      <x:c r="E76" s="19" t="str">
        <x:f>IFERROR(INDEX('VIP Signups'!C$5:C$204,MATCH(ROWS($A$5:A76),'VIP Signups'!$K$5:$K$204,0)),"")</x:f>
      </x:c>
      <x:c r="F76" s="19" t="str">
        <x:f>IFERROR(INDEX('VIP Signups'!E$5:E$204,MATCH(ROWS($A$5:A76),'VIP Signups'!$K$5:$K$204,0)),"")</x:f>
      </x:c>
      <x:c r="G76" s="19" t="str">
        <x:f>IFERROR(INDEX('VIP Signups'!H$5:H$204,MATCH(ROWS($A$5:A76),'VIP Signups'!$K$5:$K$204,0)),"")</x:f>
      </x:c>
    </x:row>
    <x:row r="77">
      <x:c r="A77" s="19" t="str">
        <x:f>IFERROR(INDEX('VIP Signups'!A$5:A$204,MATCH(ROWS($A$5:A77),'VIP Signups'!$K$5:$K$204,0)),"")</x:f>
      </x:c>
      <x:c r="B77" s="20" t="str">
        <x:f>IFERROR(INDEX('VIP Signups'!D$5:D$204,MATCH(ROWS($A$5:A77),'VIP Signups'!$K$5:$K$204,0)),"")</x:f>
      </x:c>
      <x:c r="C77" s="19" t="str">
        <x:f>IFERROR(INDEX('VIP Signups'!F$5:F$204,MATCH(ROWS($A$5:A77),'VIP Signups'!$K$5:$K$204,0)),"")</x:f>
      </x:c>
      <x:c r="D77" s="19" t="str">
        <x:f>IFERROR(INDEX('VIP Signups'!G$5:G$204,MATCH(ROWS($A$5:A77),'VIP Signups'!$K$5:$K$204,0)),"")</x:f>
      </x:c>
      <x:c r="E77" s="19" t="str">
        <x:f>IFERROR(INDEX('VIP Signups'!C$5:C$204,MATCH(ROWS($A$5:A77),'VIP Signups'!$K$5:$K$204,0)),"")</x:f>
      </x:c>
      <x:c r="F77" s="19" t="str">
        <x:f>IFERROR(INDEX('VIP Signups'!E$5:E$204,MATCH(ROWS($A$5:A77),'VIP Signups'!$K$5:$K$204,0)),"")</x:f>
      </x:c>
      <x:c r="G77" s="19" t="str">
        <x:f>IFERROR(INDEX('VIP Signups'!H$5:H$204,MATCH(ROWS($A$5:A77),'VIP Signups'!$K$5:$K$204,0)),"")</x:f>
      </x:c>
    </x:row>
    <x:row r="78">
      <x:c r="A78" s="19" t="str">
        <x:f>IFERROR(INDEX('VIP Signups'!A$5:A$204,MATCH(ROWS($A$5:A78),'VIP Signups'!$K$5:$K$204,0)),"")</x:f>
      </x:c>
      <x:c r="B78" s="20" t="str">
        <x:f>IFERROR(INDEX('VIP Signups'!D$5:D$204,MATCH(ROWS($A$5:A78),'VIP Signups'!$K$5:$K$204,0)),"")</x:f>
      </x:c>
      <x:c r="C78" s="19" t="str">
        <x:f>IFERROR(INDEX('VIP Signups'!F$5:F$204,MATCH(ROWS($A$5:A78),'VIP Signups'!$K$5:$K$204,0)),"")</x:f>
      </x:c>
      <x:c r="D78" s="19" t="str">
        <x:f>IFERROR(INDEX('VIP Signups'!G$5:G$204,MATCH(ROWS($A$5:A78),'VIP Signups'!$K$5:$K$204,0)),"")</x:f>
      </x:c>
      <x:c r="E78" s="19" t="str">
        <x:f>IFERROR(INDEX('VIP Signups'!C$5:C$204,MATCH(ROWS($A$5:A78),'VIP Signups'!$K$5:$K$204,0)),"")</x:f>
      </x:c>
      <x:c r="F78" s="19" t="str">
        <x:f>IFERROR(INDEX('VIP Signups'!E$5:E$204,MATCH(ROWS($A$5:A78),'VIP Signups'!$K$5:$K$204,0)),"")</x:f>
      </x:c>
      <x:c r="G78" s="19" t="str">
        <x:f>IFERROR(INDEX('VIP Signups'!H$5:H$204,MATCH(ROWS($A$5:A78),'VIP Signups'!$K$5:$K$204,0)),"")</x:f>
      </x:c>
    </x:row>
    <x:row r="79">
      <x:c r="A79" s="19" t="str">
        <x:f>IFERROR(INDEX('VIP Signups'!A$5:A$204,MATCH(ROWS($A$5:A79),'VIP Signups'!$K$5:$K$204,0)),"")</x:f>
      </x:c>
      <x:c r="B79" s="20" t="str">
        <x:f>IFERROR(INDEX('VIP Signups'!D$5:D$204,MATCH(ROWS($A$5:A79),'VIP Signups'!$K$5:$K$204,0)),"")</x:f>
      </x:c>
      <x:c r="C79" s="19" t="str">
        <x:f>IFERROR(INDEX('VIP Signups'!F$5:F$204,MATCH(ROWS($A$5:A79),'VIP Signups'!$K$5:$K$204,0)),"")</x:f>
      </x:c>
      <x:c r="D79" s="19" t="str">
        <x:f>IFERROR(INDEX('VIP Signups'!G$5:G$204,MATCH(ROWS($A$5:A79),'VIP Signups'!$K$5:$K$204,0)),"")</x:f>
      </x:c>
      <x:c r="E79" s="19" t="str">
        <x:f>IFERROR(INDEX('VIP Signups'!C$5:C$204,MATCH(ROWS($A$5:A79),'VIP Signups'!$K$5:$K$204,0)),"")</x:f>
      </x:c>
      <x:c r="F79" s="19" t="str">
        <x:f>IFERROR(INDEX('VIP Signups'!E$5:E$204,MATCH(ROWS($A$5:A79),'VIP Signups'!$K$5:$K$204,0)),"")</x:f>
      </x:c>
      <x:c r="G79" s="19" t="str">
        <x:f>IFERROR(INDEX('VIP Signups'!H$5:H$204,MATCH(ROWS($A$5:A79),'VIP Signups'!$K$5:$K$204,0)),"")</x:f>
      </x:c>
    </x:row>
    <x:row r="80">
      <x:c r="A80" s="19" t="str">
        <x:f>IFERROR(INDEX('VIP Signups'!A$5:A$204,MATCH(ROWS($A$5:A80),'VIP Signups'!$K$5:$K$204,0)),"")</x:f>
      </x:c>
      <x:c r="B80" s="20" t="str">
        <x:f>IFERROR(INDEX('VIP Signups'!D$5:D$204,MATCH(ROWS($A$5:A80),'VIP Signups'!$K$5:$K$204,0)),"")</x:f>
      </x:c>
      <x:c r="C80" s="19" t="str">
        <x:f>IFERROR(INDEX('VIP Signups'!F$5:F$204,MATCH(ROWS($A$5:A80),'VIP Signups'!$K$5:$K$204,0)),"")</x:f>
      </x:c>
      <x:c r="D80" s="19" t="str">
        <x:f>IFERROR(INDEX('VIP Signups'!G$5:G$204,MATCH(ROWS($A$5:A80),'VIP Signups'!$K$5:$K$204,0)),"")</x:f>
      </x:c>
      <x:c r="E80" s="19" t="str">
        <x:f>IFERROR(INDEX('VIP Signups'!C$5:C$204,MATCH(ROWS($A$5:A80),'VIP Signups'!$K$5:$K$204,0)),"")</x:f>
      </x:c>
      <x:c r="F80" s="19" t="str">
        <x:f>IFERROR(INDEX('VIP Signups'!E$5:E$204,MATCH(ROWS($A$5:A80),'VIP Signups'!$K$5:$K$204,0)),"")</x:f>
      </x:c>
      <x:c r="G80" s="19" t="str">
        <x:f>IFERROR(INDEX('VIP Signups'!H$5:H$204,MATCH(ROWS($A$5:A80),'VIP Signups'!$K$5:$K$204,0)),"")</x:f>
      </x:c>
    </x:row>
    <x:row r="81">
      <x:c r="A81" s="19" t="str">
        <x:f>IFERROR(INDEX('VIP Signups'!A$5:A$204,MATCH(ROWS($A$5:A81),'VIP Signups'!$K$5:$K$204,0)),"")</x:f>
      </x:c>
      <x:c r="B81" s="20" t="str">
        <x:f>IFERROR(INDEX('VIP Signups'!D$5:D$204,MATCH(ROWS($A$5:A81),'VIP Signups'!$K$5:$K$204,0)),"")</x:f>
      </x:c>
      <x:c r="C81" s="19" t="str">
        <x:f>IFERROR(INDEX('VIP Signups'!F$5:F$204,MATCH(ROWS($A$5:A81),'VIP Signups'!$K$5:$K$204,0)),"")</x:f>
      </x:c>
      <x:c r="D81" s="19" t="str">
        <x:f>IFERROR(INDEX('VIP Signups'!G$5:G$204,MATCH(ROWS($A$5:A81),'VIP Signups'!$K$5:$K$204,0)),"")</x:f>
      </x:c>
      <x:c r="E81" s="19" t="str">
        <x:f>IFERROR(INDEX('VIP Signups'!C$5:C$204,MATCH(ROWS($A$5:A81),'VIP Signups'!$K$5:$K$204,0)),"")</x:f>
      </x:c>
      <x:c r="F81" s="19" t="str">
        <x:f>IFERROR(INDEX('VIP Signups'!E$5:E$204,MATCH(ROWS($A$5:A81),'VIP Signups'!$K$5:$K$204,0)),"")</x:f>
      </x:c>
      <x:c r="G81" s="19" t="str">
        <x:f>IFERROR(INDEX('VIP Signups'!H$5:H$204,MATCH(ROWS($A$5:A81),'VIP Signups'!$K$5:$K$204,0)),"")</x:f>
      </x:c>
    </x:row>
    <x:row r="82">
      <x:c r="A82" s="19" t="str">
        <x:f>IFERROR(INDEX('VIP Signups'!A$5:A$204,MATCH(ROWS($A$5:A82),'VIP Signups'!$K$5:$K$204,0)),"")</x:f>
      </x:c>
      <x:c r="B82" s="20" t="str">
        <x:f>IFERROR(INDEX('VIP Signups'!D$5:D$204,MATCH(ROWS($A$5:A82),'VIP Signups'!$K$5:$K$204,0)),"")</x:f>
      </x:c>
      <x:c r="C82" s="19" t="str">
        <x:f>IFERROR(INDEX('VIP Signups'!F$5:F$204,MATCH(ROWS($A$5:A82),'VIP Signups'!$K$5:$K$204,0)),"")</x:f>
      </x:c>
      <x:c r="D82" s="19" t="str">
        <x:f>IFERROR(INDEX('VIP Signups'!G$5:G$204,MATCH(ROWS($A$5:A82),'VIP Signups'!$K$5:$K$204,0)),"")</x:f>
      </x:c>
      <x:c r="E82" s="19" t="str">
        <x:f>IFERROR(INDEX('VIP Signups'!C$5:C$204,MATCH(ROWS($A$5:A82),'VIP Signups'!$K$5:$K$204,0)),"")</x:f>
      </x:c>
      <x:c r="F82" s="19" t="str">
        <x:f>IFERROR(INDEX('VIP Signups'!E$5:E$204,MATCH(ROWS($A$5:A82),'VIP Signups'!$K$5:$K$204,0)),"")</x:f>
      </x:c>
      <x:c r="G82" s="19" t="str">
        <x:f>IFERROR(INDEX('VIP Signups'!H$5:H$204,MATCH(ROWS($A$5:A82),'VIP Signups'!$K$5:$K$204,0)),"")</x:f>
      </x:c>
    </x:row>
    <x:row r="83">
      <x:c r="A83" s="19" t="str">
        <x:f>IFERROR(INDEX('VIP Signups'!A$5:A$204,MATCH(ROWS($A$5:A83),'VIP Signups'!$K$5:$K$204,0)),"")</x:f>
      </x:c>
      <x:c r="B83" s="20" t="str">
        <x:f>IFERROR(INDEX('VIP Signups'!D$5:D$204,MATCH(ROWS($A$5:A83),'VIP Signups'!$K$5:$K$204,0)),"")</x:f>
      </x:c>
      <x:c r="C83" s="19" t="str">
        <x:f>IFERROR(INDEX('VIP Signups'!F$5:F$204,MATCH(ROWS($A$5:A83),'VIP Signups'!$K$5:$K$204,0)),"")</x:f>
      </x:c>
      <x:c r="D83" s="19" t="str">
        <x:f>IFERROR(INDEX('VIP Signups'!G$5:G$204,MATCH(ROWS($A$5:A83),'VIP Signups'!$K$5:$K$204,0)),"")</x:f>
      </x:c>
      <x:c r="E83" s="19" t="str">
        <x:f>IFERROR(INDEX('VIP Signups'!C$5:C$204,MATCH(ROWS($A$5:A83),'VIP Signups'!$K$5:$K$204,0)),"")</x:f>
      </x:c>
      <x:c r="F83" s="19" t="str">
        <x:f>IFERROR(INDEX('VIP Signups'!E$5:E$204,MATCH(ROWS($A$5:A83),'VIP Signups'!$K$5:$K$204,0)),"")</x:f>
      </x:c>
      <x:c r="G83" s="19" t="str">
        <x:f>IFERROR(INDEX('VIP Signups'!H$5:H$204,MATCH(ROWS($A$5:A83),'VIP Signups'!$K$5:$K$204,0)),"")</x:f>
      </x:c>
    </x:row>
    <x:row r="84">
      <x:c r="A84" s="19" t="str">
        <x:f>IFERROR(INDEX('VIP Signups'!A$5:A$204,MATCH(ROWS($A$5:A84),'VIP Signups'!$K$5:$K$204,0)),"")</x:f>
      </x:c>
      <x:c r="B84" s="20" t="str">
        <x:f>IFERROR(INDEX('VIP Signups'!D$5:D$204,MATCH(ROWS($A$5:A84),'VIP Signups'!$K$5:$K$204,0)),"")</x:f>
      </x:c>
      <x:c r="C84" s="19" t="str">
        <x:f>IFERROR(INDEX('VIP Signups'!F$5:F$204,MATCH(ROWS($A$5:A84),'VIP Signups'!$K$5:$K$204,0)),"")</x:f>
      </x:c>
      <x:c r="D84" s="19" t="str">
        <x:f>IFERROR(INDEX('VIP Signups'!G$5:G$204,MATCH(ROWS($A$5:A84),'VIP Signups'!$K$5:$K$204,0)),"")</x:f>
      </x:c>
      <x:c r="E84" s="19" t="str">
        <x:f>IFERROR(INDEX('VIP Signups'!C$5:C$204,MATCH(ROWS($A$5:A84),'VIP Signups'!$K$5:$K$204,0)),"")</x:f>
      </x:c>
      <x:c r="F84" s="19" t="str">
        <x:f>IFERROR(INDEX('VIP Signups'!E$5:E$204,MATCH(ROWS($A$5:A84),'VIP Signups'!$K$5:$K$204,0)),"")</x:f>
      </x:c>
      <x:c r="G84" s="19" t="str">
        <x:f>IFERROR(INDEX('VIP Signups'!H$5:H$204,MATCH(ROWS($A$5:A84),'VIP Signups'!$K$5:$K$204,0)),"")</x:f>
      </x:c>
    </x:row>
    <x:row r="85">
      <x:c r="A85" s="19" t="str">
        <x:f>IFERROR(INDEX('VIP Signups'!A$5:A$204,MATCH(ROWS($A$5:A85),'VIP Signups'!$K$5:$K$204,0)),"")</x:f>
      </x:c>
      <x:c r="B85" s="20" t="str">
        <x:f>IFERROR(INDEX('VIP Signups'!D$5:D$204,MATCH(ROWS($A$5:A85),'VIP Signups'!$K$5:$K$204,0)),"")</x:f>
      </x:c>
      <x:c r="C85" s="19" t="str">
        <x:f>IFERROR(INDEX('VIP Signups'!F$5:F$204,MATCH(ROWS($A$5:A85),'VIP Signups'!$K$5:$K$204,0)),"")</x:f>
      </x:c>
      <x:c r="D85" s="19" t="str">
        <x:f>IFERROR(INDEX('VIP Signups'!G$5:G$204,MATCH(ROWS($A$5:A85),'VIP Signups'!$K$5:$K$204,0)),"")</x:f>
      </x:c>
      <x:c r="E85" s="19" t="str">
        <x:f>IFERROR(INDEX('VIP Signups'!C$5:C$204,MATCH(ROWS($A$5:A85),'VIP Signups'!$K$5:$K$204,0)),"")</x:f>
      </x:c>
      <x:c r="F85" s="19" t="str">
        <x:f>IFERROR(INDEX('VIP Signups'!E$5:E$204,MATCH(ROWS($A$5:A85),'VIP Signups'!$K$5:$K$204,0)),"")</x:f>
      </x:c>
      <x:c r="G85" s="19" t="str">
        <x:f>IFERROR(INDEX('VIP Signups'!H$5:H$204,MATCH(ROWS($A$5:A85),'VIP Signups'!$K$5:$K$204,0)),"")</x:f>
      </x:c>
    </x:row>
    <x:row r="86">
      <x:c r="A86" s="19" t="str">
        <x:f>IFERROR(INDEX('VIP Signups'!A$5:A$204,MATCH(ROWS($A$5:A86),'VIP Signups'!$K$5:$K$204,0)),"")</x:f>
      </x:c>
      <x:c r="B86" s="20" t="str">
        <x:f>IFERROR(INDEX('VIP Signups'!D$5:D$204,MATCH(ROWS($A$5:A86),'VIP Signups'!$K$5:$K$204,0)),"")</x:f>
      </x:c>
      <x:c r="C86" s="19" t="str">
        <x:f>IFERROR(INDEX('VIP Signups'!F$5:F$204,MATCH(ROWS($A$5:A86),'VIP Signups'!$K$5:$K$204,0)),"")</x:f>
      </x:c>
      <x:c r="D86" s="19" t="str">
        <x:f>IFERROR(INDEX('VIP Signups'!G$5:G$204,MATCH(ROWS($A$5:A86),'VIP Signups'!$K$5:$K$204,0)),"")</x:f>
      </x:c>
      <x:c r="E86" s="19" t="str">
        <x:f>IFERROR(INDEX('VIP Signups'!C$5:C$204,MATCH(ROWS($A$5:A86),'VIP Signups'!$K$5:$K$204,0)),"")</x:f>
      </x:c>
      <x:c r="F86" s="19" t="str">
        <x:f>IFERROR(INDEX('VIP Signups'!E$5:E$204,MATCH(ROWS($A$5:A86),'VIP Signups'!$K$5:$K$204,0)),"")</x:f>
      </x:c>
      <x:c r="G86" s="19" t="str">
        <x:f>IFERROR(INDEX('VIP Signups'!H$5:H$204,MATCH(ROWS($A$5:A86),'VIP Signups'!$K$5:$K$204,0)),"")</x:f>
      </x:c>
    </x:row>
    <x:row r="87">
      <x:c r="A87" s="19" t="str">
        <x:f>IFERROR(INDEX('VIP Signups'!A$5:A$204,MATCH(ROWS($A$5:A87),'VIP Signups'!$K$5:$K$204,0)),"")</x:f>
      </x:c>
      <x:c r="B87" s="20" t="str">
        <x:f>IFERROR(INDEX('VIP Signups'!D$5:D$204,MATCH(ROWS($A$5:A87),'VIP Signups'!$K$5:$K$204,0)),"")</x:f>
      </x:c>
      <x:c r="C87" s="19" t="str">
        <x:f>IFERROR(INDEX('VIP Signups'!F$5:F$204,MATCH(ROWS($A$5:A87),'VIP Signups'!$K$5:$K$204,0)),"")</x:f>
      </x:c>
      <x:c r="D87" s="19" t="str">
        <x:f>IFERROR(INDEX('VIP Signups'!G$5:G$204,MATCH(ROWS($A$5:A87),'VIP Signups'!$K$5:$K$204,0)),"")</x:f>
      </x:c>
      <x:c r="E87" s="19" t="str">
        <x:f>IFERROR(INDEX('VIP Signups'!C$5:C$204,MATCH(ROWS($A$5:A87),'VIP Signups'!$K$5:$K$204,0)),"")</x:f>
      </x:c>
      <x:c r="F87" s="19" t="str">
        <x:f>IFERROR(INDEX('VIP Signups'!E$5:E$204,MATCH(ROWS($A$5:A87),'VIP Signups'!$K$5:$K$204,0)),"")</x:f>
      </x:c>
      <x:c r="G87" s="19" t="str">
        <x:f>IFERROR(INDEX('VIP Signups'!H$5:H$204,MATCH(ROWS($A$5:A87),'VIP Signups'!$K$5:$K$204,0)),"")</x:f>
      </x:c>
    </x:row>
    <x:row r="88">
      <x:c r="A88" s="19" t="str">
        <x:f>IFERROR(INDEX('VIP Signups'!A$5:A$204,MATCH(ROWS($A$5:A88),'VIP Signups'!$K$5:$K$204,0)),"")</x:f>
      </x:c>
      <x:c r="B88" s="20" t="str">
        <x:f>IFERROR(INDEX('VIP Signups'!D$5:D$204,MATCH(ROWS($A$5:A88),'VIP Signups'!$K$5:$K$204,0)),"")</x:f>
      </x:c>
      <x:c r="C88" s="19" t="str">
        <x:f>IFERROR(INDEX('VIP Signups'!F$5:F$204,MATCH(ROWS($A$5:A88),'VIP Signups'!$K$5:$K$204,0)),"")</x:f>
      </x:c>
      <x:c r="D88" s="19" t="str">
        <x:f>IFERROR(INDEX('VIP Signups'!G$5:G$204,MATCH(ROWS($A$5:A88),'VIP Signups'!$K$5:$K$204,0)),"")</x:f>
      </x:c>
      <x:c r="E88" s="19" t="str">
        <x:f>IFERROR(INDEX('VIP Signups'!C$5:C$204,MATCH(ROWS($A$5:A88),'VIP Signups'!$K$5:$K$204,0)),"")</x:f>
      </x:c>
      <x:c r="F88" s="19" t="str">
        <x:f>IFERROR(INDEX('VIP Signups'!E$5:E$204,MATCH(ROWS($A$5:A88),'VIP Signups'!$K$5:$K$204,0)),"")</x:f>
      </x:c>
      <x:c r="G88" s="19" t="str">
        <x:f>IFERROR(INDEX('VIP Signups'!H$5:H$204,MATCH(ROWS($A$5:A88),'VIP Signups'!$K$5:$K$204,0)),"")</x:f>
      </x:c>
    </x:row>
    <x:row r="89">
      <x:c r="A89" s="19" t="str">
        <x:f>IFERROR(INDEX('VIP Signups'!A$5:A$204,MATCH(ROWS($A$5:A89),'VIP Signups'!$K$5:$K$204,0)),"")</x:f>
      </x:c>
      <x:c r="B89" s="20" t="str">
        <x:f>IFERROR(INDEX('VIP Signups'!D$5:D$204,MATCH(ROWS($A$5:A89),'VIP Signups'!$K$5:$K$204,0)),"")</x:f>
      </x:c>
      <x:c r="C89" s="19" t="str">
        <x:f>IFERROR(INDEX('VIP Signups'!F$5:F$204,MATCH(ROWS($A$5:A89),'VIP Signups'!$K$5:$K$204,0)),"")</x:f>
      </x:c>
      <x:c r="D89" s="19" t="str">
        <x:f>IFERROR(INDEX('VIP Signups'!G$5:G$204,MATCH(ROWS($A$5:A89),'VIP Signups'!$K$5:$K$204,0)),"")</x:f>
      </x:c>
      <x:c r="E89" s="19" t="str">
        <x:f>IFERROR(INDEX('VIP Signups'!C$5:C$204,MATCH(ROWS($A$5:A89),'VIP Signups'!$K$5:$K$204,0)),"")</x:f>
      </x:c>
      <x:c r="F89" s="19" t="str">
        <x:f>IFERROR(INDEX('VIP Signups'!E$5:E$204,MATCH(ROWS($A$5:A89),'VIP Signups'!$K$5:$K$204,0)),"")</x:f>
      </x:c>
      <x:c r="G89" s="19" t="str">
        <x:f>IFERROR(INDEX('VIP Signups'!H$5:H$204,MATCH(ROWS($A$5:A89),'VIP Signups'!$K$5:$K$204,0)),"")</x:f>
      </x:c>
    </x:row>
    <x:row r="90">
      <x:c r="A90" s="19" t="str">
        <x:f>IFERROR(INDEX('VIP Signups'!A$5:A$204,MATCH(ROWS($A$5:A90),'VIP Signups'!$K$5:$K$204,0)),"")</x:f>
      </x:c>
      <x:c r="B90" s="20" t="str">
        <x:f>IFERROR(INDEX('VIP Signups'!D$5:D$204,MATCH(ROWS($A$5:A90),'VIP Signups'!$K$5:$K$204,0)),"")</x:f>
      </x:c>
      <x:c r="C90" s="19" t="str">
        <x:f>IFERROR(INDEX('VIP Signups'!F$5:F$204,MATCH(ROWS($A$5:A90),'VIP Signups'!$K$5:$K$204,0)),"")</x:f>
      </x:c>
      <x:c r="D90" s="19" t="str">
        <x:f>IFERROR(INDEX('VIP Signups'!G$5:G$204,MATCH(ROWS($A$5:A90),'VIP Signups'!$K$5:$K$204,0)),"")</x:f>
      </x:c>
      <x:c r="E90" s="19" t="str">
        <x:f>IFERROR(INDEX('VIP Signups'!C$5:C$204,MATCH(ROWS($A$5:A90),'VIP Signups'!$K$5:$K$204,0)),"")</x:f>
      </x:c>
      <x:c r="F90" s="19" t="str">
        <x:f>IFERROR(INDEX('VIP Signups'!E$5:E$204,MATCH(ROWS($A$5:A90),'VIP Signups'!$K$5:$K$204,0)),"")</x:f>
      </x:c>
      <x:c r="G90" s="19" t="str">
        <x:f>IFERROR(INDEX('VIP Signups'!H$5:H$204,MATCH(ROWS($A$5:A90),'VIP Signups'!$K$5:$K$204,0)),"")</x:f>
      </x:c>
    </x:row>
    <x:row r="91">
      <x:c r="A91" s="19" t="str">
        <x:f>IFERROR(INDEX('VIP Signups'!A$5:A$204,MATCH(ROWS($A$5:A91),'VIP Signups'!$K$5:$K$204,0)),"")</x:f>
      </x:c>
      <x:c r="B91" s="20" t="str">
        <x:f>IFERROR(INDEX('VIP Signups'!D$5:D$204,MATCH(ROWS($A$5:A91),'VIP Signups'!$K$5:$K$204,0)),"")</x:f>
      </x:c>
      <x:c r="C91" s="19" t="str">
        <x:f>IFERROR(INDEX('VIP Signups'!F$5:F$204,MATCH(ROWS($A$5:A91),'VIP Signups'!$K$5:$K$204,0)),"")</x:f>
      </x:c>
      <x:c r="D91" s="19" t="str">
        <x:f>IFERROR(INDEX('VIP Signups'!G$5:G$204,MATCH(ROWS($A$5:A91),'VIP Signups'!$K$5:$K$204,0)),"")</x:f>
      </x:c>
      <x:c r="E91" s="19" t="str">
        <x:f>IFERROR(INDEX('VIP Signups'!C$5:C$204,MATCH(ROWS($A$5:A91),'VIP Signups'!$K$5:$K$204,0)),"")</x:f>
      </x:c>
      <x:c r="F91" s="19" t="str">
        <x:f>IFERROR(INDEX('VIP Signups'!E$5:E$204,MATCH(ROWS($A$5:A91),'VIP Signups'!$K$5:$K$204,0)),"")</x:f>
      </x:c>
      <x:c r="G91" s="19" t="str">
        <x:f>IFERROR(INDEX('VIP Signups'!H$5:H$204,MATCH(ROWS($A$5:A91),'VIP Signups'!$K$5:$K$204,0)),"")</x:f>
      </x:c>
    </x:row>
    <x:row r="92">
      <x:c r="A92" s="19" t="str">
        <x:f>IFERROR(INDEX('VIP Signups'!A$5:A$204,MATCH(ROWS($A$5:A92),'VIP Signups'!$K$5:$K$204,0)),"")</x:f>
      </x:c>
      <x:c r="B92" s="20" t="str">
        <x:f>IFERROR(INDEX('VIP Signups'!D$5:D$204,MATCH(ROWS($A$5:A92),'VIP Signups'!$K$5:$K$204,0)),"")</x:f>
      </x:c>
      <x:c r="C92" s="19" t="str">
        <x:f>IFERROR(INDEX('VIP Signups'!F$5:F$204,MATCH(ROWS($A$5:A92),'VIP Signups'!$K$5:$K$204,0)),"")</x:f>
      </x:c>
      <x:c r="D92" s="19" t="str">
        <x:f>IFERROR(INDEX('VIP Signups'!G$5:G$204,MATCH(ROWS($A$5:A92),'VIP Signups'!$K$5:$K$204,0)),"")</x:f>
      </x:c>
      <x:c r="E92" s="19" t="str">
        <x:f>IFERROR(INDEX('VIP Signups'!C$5:C$204,MATCH(ROWS($A$5:A92),'VIP Signups'!$K$5:$K$204,0)),"")</x:f>
      </x:c>
      <x:c r="F92" s="19" t="str">
        <x:f>IFERROR(INDEX('VIP Signups'!E$5:E$204,MATCH(ROWS($A$5:A92),'VIP Signups'!$K$5:$K$204,0)),"")</x:f>
      </x:c>
      <x:c r="G92" s="19" t="str">
        <x:f>IFERROR(INDEX('VIP Signups'!H$5:H$204,MATCH(ROWS($A$5:A92),'VIP Signups'!$K$5:$K$204,0)),"")</x:f>
      </x:c>
    </x:row>
    <x:row r="93">
      <x:c r="A93" s="19" t="str">
        <x:f>IFERROR(INDEX('VIP Signups'!A$5:A$204,MATCH(ROWS($A$5:A93),'VIP Signups'!$K$5:$K$204,0)),"")</x:f>
      </x:c>
      <x:c r="B93" s="20" t="str">
        <x:f>IFERROR(INDEX('VIP Signups'!D$5:D$204,MATCH(ROWS($A$5:A93),'VIP Signups'!$K$5:$K$204,0)),"")</x:f>
      </x:c>
      <x:c r="C93" s="19" t="str">
        <x:f>IFERROR(INDEX('VIP Signups'!F$5:F$204,MATCH(ROWS($A$5:A93),'VIP Signups'!$K$5:$K$204,0)),"")</x:f>
      </x:c>
      <x:c r="D93" s="19" t="str">
        <x:f>IFERROR(INDEX('VIP Signups'!G$5:G$204,MATCH(ROWS($A$5:A93),'VIP Signups'!$K$5:$K$204,0)),"")</x:f>
      </x:c>
      <x:c r="E93" s="19" t="str">
        <x:f>IFERROR(INDEX('VIP Signups'!C$5:C$204,MATCH(ROWS($A$5:A93),'VIP Signups'!$K$5:$K$204,0)),"")</x:f>
      </x:c>
      <x:c r="F93" s="19" t="str">
        <x:f>IFERROR(INDEX('VIP Signups'!E$5:E$204,MATCH(ROWS($A$5:A93),'VIP Signups'!$K$5:$K$204,0)),"")</x:f>
      </x:c>
      <x:c r="G93" s="19" t="str">
        <x:f>IFERROR(INDEX('VIP Signups'!H$5:H$204,MATCH(ROWS($A$5:A93),'VIP Signups'!$K$5:$K$204,0)),"")</x:f>
      </x:c>
    </x:row>
    <x:row r="94">
      <x:c r="A94" s="19" t="str">
        <x:f>IFERROR(INDEX('VIP Signups'!A$5:A$204,MATCH(ROWS($A$5:A94),'VIP Signups'!$K$5:$K$204,0)),"")</x:f>
      </x:c>
      <x:c r="B94" s="20" t="str">
        <x:f>IFERROR(INDEX('VIP Signups'!D$5:D$204,MATCH(ROWS($A$5:A94),'VIP Signups'!$K$5:$K$204,0)),"")</x:f>
      </x:c>
      <x:c r="C94" s="19" t="str">
        <x:f>IFERROR(INDEX('VIP Signups'!F$5:F$204,MATCH(ROWS($A$5:A94),'VIP Signups'!$K$5:$K$204,0)),"")</x:f>
      </x:c>
      <x:c r="D94" s="19" t="str">
        <x:f>IFERROR(INDEX('VIP Signups'!G$5:G$204,MATCH(ROWS($A$5:A94),'VIP Signups'!$K$5:$K$204,0)),"")</x:f>
      </x:c>
      <x:c r="E94" s="19" t="str">
        <x:f>IFERROR(INDEX('VIP Signups'!C$5:C$204,MATCH(ROWS($A$5:A94),'VIP Signups'!$K$5:$K$204,0)),"")</x:f>
      </x:c>
      <x:c r="F94" s="19" t="str">
        <x:f>IFERROR(INDEX('VIP Signups'!E$5:E$204,MATCH(ROWS($A$5:A94),'VIP Signups'!$K$5:$K$204,0)),"")</x:f>
      </x:c>
      <x:c r="G94" s="19" t="str">
        <x:f>IFERROR(INDEX('VIP Signups'!H$5:H$204,MATCH(ROWS($A$5:A94),'VIP Signups'!$K$5:$K$204,0)),"")</x:f>
      </x:c>
    </x:row>
    <x:row r="95">
      <x:c r="A95" s="19" t="str">
        <x:f>IFERROR(INDEX('VIP Signups'!A$5:A$204,MATCH(ROWS($A$5:A95),'VIP Signups'!$K$5:$K$204,0)),"")</x:f>
      </x:c>
      <x:c r="B95" s="20" t="str">
        <x:f>IFERROR(INDEX('VIP Signups'!D$5:D$204,MATCH(ROWS($A$5:A95),'VIP Signups'!$K$5:$K$204,0)),"")</x:f>
      </x:c>
      <x:c r="C95" s="19" t="str">
        <x:f>IFERROR(INDEX('VIP Signups'!F$5:F$204,MATCH(ROWS($A$5:A95),'VIP Signups'!$K$5:$K$204,0)),"")</x:f>
      </x:c>
      <x:c r="D95" s="19" t="str">
        <x:f>IFERROR(INDEX('VIP Signups'!G$5:G$204,MATCH(ROWS($A$5:A95),'VIP Signups'!$K$5:$K$204,0)),"")</x:f>
      </x:c>
      <x:c r="E95" s="19" t="str">
        <x:f>IFERROR(INDEX('VIP Signups'!C$5:C$204,MATCH(ROWS($A$5:A95),'VIP Signups'!$K$5:$K$204,0)),"")</x:f>
      </x:c>
      <x:c r="F95" s="19" t="str">
        <x:f>IFERROR(INDEX('VIP Signups'!E$5:E$204,MATCH(ROWS($A$5:A95),'VIP Signups'!$K$5:$K$204,0)),"")</x:f>
      </x:c>
      <x:c r="G95" s="19" t="str">
        <x:f>IFERROR(INDEX('VIP Signups'!H$5:H$204,MATCH(ROWS($A$5:A95),'VIP Signups'!$K$5:$K$204,0)),"")</x:f>
      </x:c>
    </x:row>
    <x:row r="96">
      <x:c r="A96" s="19" t="str">
        <x:f>IFERROR(INDEX('VIP Signups'!A$5:A$204,MATCH(ROWS($A$5:A96),'VIP Signups'!$K$5:$K$204,0)),"")</x:f>
      </x:c>
      <x:c r="B96" s="20" t="str">
        <x:f>IFERROR(INDEX('VIP Signups'!D$5:D$204,MATCH(ROWS($A$5:A96),'VIP Signups'!$K$5:$K$204,0)),"")</x:f>
      </x:c>
      <x:c r="C96" s="19" t="str">
        <x:f>IFERROR(INDEX('VIP Signups'!F$5:F$204,MATCH(ROWS($A$5:A96),'VIP Signups'!$K$5:$K$204,0)),"")</x:f>
      </x:c>
      <x:c r="D96" s="19" t="str">
        <x:f>IFERROR(INDEX('VIP Signups'!G$5:G$204,MATCH(ROWS($A$5:A96),'VIP Signups'!$K$5:$K$204,0)),"")</x:f>
      </x:c>
      <x:c r="E96" s="19" t="str">
        <x:f>IFERROR(INDEX('VIP Signups'!C$5:C$204,MATCH(ROWS($A$5:A96),'VIP Signups'!$K$5:$K$204,0)),"")</x:f>
      </x:c>
      <x:c r="F96" s="19" t="str">
        <x:f>IFERROR(INDEX('VIP Signups'!E$5:E$204,MATCH(ROWS($A$5:A96),'VIP Signups'!$K$5:$K$204,0)),"")</x:f>
      </x:c>
      <x:c r="G96" s="19" t="str">
        <x:f>IFERROR(INDEX('VIP Signups'!H$5:H$204,MATCH(ROWS($A$5:A96),'VIP Signups'!$K$5:$K$204,0)),"")</x:f>
      </x:c>
    </x:row>
    <x:row r="97">
      <x:c r="A97" s="19" t="str">
        <x:f>IFERROR(INDEX('VIP Signups'!A$5:A$204,MATCH(ROWS($A$5:A97),'VIP Signups'!$K$5:$K$204,0)),"")</x:f>
      </x:c>
      <x:c r="B97" s="20" t="str">
        <x:f>IFERROR(INDEX('VIP Signups'!D$5:D$204,MATCH(ROWS($A$5:A97),'VIP Signups'!$K$5:$K$204,0)),"")</x:f>
      </x:c>
      <x:c r="C97" s="19" t="str">
        <x:f>IFERROR(INDEX('VIP Signups'!F$5:F$204,MATCH(ROWS($A$5:A97),'VIP Signups'!$K$5:$K$204,0)),"")</x:f>
      </x:c>
      <x:c r="D97" s="19" t="str">
        <x:f>IFERROR(INDEX('VIP Signups'!G$5:G$204,MATCH(ROWS($A$5:A97),'VIP Signups'!$K$5:$K$204,0)),"")</x:f>
      </x:c>
      <x:c r="E97" s="19" t="str">
        <x:f>IFERROR(INDEX('VIP Signups'!C$5:C$204,MATCH(ROWS($A$5:A97),'VIP Signups'!$K$5:$K$204,0)),"")</x:f>
      </x:c>
      <x:c r="F97" s="19" t="str">
        <x:f>IFERROR(INDEX('VIP Signups'!E$5:E$204,MATCH(ROWS($A$5:A97),'VIP Signups'!$K$5:$K$204,0)),"")</x:f>
      </x:c>
      <x:c r="G97" s="19" t="str">
        <x:f>IFERROR(INDEX('VIP Signups'!H$5:H$204,MATCH(ROWS($A$5:A97),'VIP Signups'!$K$5:$K$204,0)),"")</x:f>
      </x:c>
    </x:row>
    <x:row r="98">
      <x:c r="A98" s="19" t="str">
        <x:f>IFERROR(INDEX('VIP Signups'!A$5:A$204,MATCH(ROWS($A$5:A98),'VIP Signups'!$K$5:$K$204,0)),"")</x:f>
      </x:c>
      <x:c r="B98" s="20" t="str">
        <x:f>IFERROR(INDEX('VIP Signups'!D$5:D$204,MATCH(ROWS($A$5:A98),'VIP Signups'!$K$5:$K$204,0)),"")</x:f>
      </x:c>
      <x:c r="C98" s="19" t="str">
        <x:f>IFERROR(INDEX('VIP Signups'!F$5:F$204,MATCH(ROWS($A$5:A98),'VIP Signups'!$K$5:$K$204,0)),"")</x:f>
      </x:c>
      <x:c r="D98" s="19" t="str">
        <x:f>IFERROR(INDEX('VIP Signups'!G$5:G$204,MATCH(ROWS($A$5:A98),'VIP Signups'!$K$5:$K$204,0)),"")</x:f>
      </x:c>
      <x:c r="E98" s="19" t="str">
        <x:f>IFERROR(INDEX('VIP Signups'!C$5:C$204,MATCH(ROWS($A$5:A98),'VIP Signups'!$K$5:$K$204,0)),"")</x:f>
      </x:c>
      <x:c r="F98" s="19" t="str">
        <x:f>IFERROR(INDEX('VIP Signups'!E$5:E$204,MATCH(ROWS($A$5:A98),'VIP Signups'!$K$5:$K$204,0)),"")</x:f>
      </x:c>
      <x:c r="G98" s="19" t="str">
        <x:f>IFERROR(INDEX('VIP Signups'!H$5:H$204,MATCH(ROWS($A$5:A98),'VIP Signups'!$K$5:$K$204,0)),"")</x:f>
      </x:c>
    </x:row>
    <x:row r="99">
      <x:c r="A99" s="19" t="str">
        <x:f>IFERROR(INDEX('VIP Signups'!A$5:A$204,MATCH(ROWS($A$5:A99),'VIP Signups'!$K$5:$K$204,0)),"")</x:f>
      </x:c>
      <x:c r="B99" s="20" t="str">
        <x:f>IFERROR(INDEX('VIP Signups'!D$5:D$204,MATCH(ROWS($A$5:A99),'VIP Signups'!$K$5:$K$204,0)),"")</x:f>
      </x:c>
      <x:c r="C99" s="19" t="str">
        <x:f>IFERROR(INDEX('VIP Signups'!F$5:F$204,MATCH(ROWS($A$5:A99),'VIP Signups'!$K$5:$K$204,0)),"")</x:f>
      </x:c>
      <x:c r="D99" s="19" t="str">
        <x:f>IFERROR(INDEX('VIP Signups'!G$5:G$204,MATCH(ROWS($A$5:A99),'VIP Signups'!$K$5:$K$204,0)),"")</x:f>
      </x:c>
      <x:c r="E99" s="19" t="str">
        <x:f>IFERROR(INDEX('VIP Signups'!C$5:C$204,MATCH(ROWS($A$5:A99),'VIP Signups'!$K$5:$K$204,0)),"")</x:f>
      </x:c>
      <x:c r="F99" s="19" t="str">
        <x:f>IFERROR(INDEX('VIP Signups'!E$5:E$204,MATCH(ROWS($A$5:A99),'VIP Signups'!$K$5:$K$204,0)),"")</x:f>
      </x:c>
      <x:c r="G99" s="19" t="str">
        <x:f>IFERROR(INDEX('VIP Signups'!H$5:H$204,MATCH(ROWS($A$5:A99),'VIP Signups'!$K$5:$K$204,0)),"")</x:f>
      </x:c>
    </x:row>
    <x:row r="100">
      <x:c r="A100" s="19" t="str">
        <x:f>IFERROR(INDEX('VIP Signups'!A$5:A$204,MATCH(ROWS($A$5:A100),'VIP Signups'!$K$5:$K$204,0)),"")</x:f>
      </x:c>
      <x:c r="B100" s="20" t="str">
        <x:f>IFERROR(INDEX('VIP Signups'!D$5:D$204,MATCH(ROWS($A$5:A100),'VIP Signups'!$K$5:$K$204,0)),"")</x:f>
      </x:c>
      <x:c r="C100" s="19" t="str">
        <x:f>IFERROR(INDEX('VIP Signups'!F$5:F$204,MATCH(ROWS($A$5:A100),'VIP Signups'!$K$5:$K$204,0)),"")</x:f>
      </x:c>
      <x:c r="D100" s="19" t="str">
        <x:f>IFERROR(INDEX('VIP Signups'!G$5:G$204,MATCH(ROWS($A$5:A100),'VIP Signups'!$K$5:$K$204,0)),"")</x:f>
      </x:c>
      <x:c r="E100" s="19" t="str">
        <x:f>IFERROR(INDEX('VIP Signups'!C$5:C$204,MATCH(ROWS($A$5:A100),'VIP Signups'!$K$5:$K$204,0)),"")</x:f>
      </x:c>
      <x:c r="F100" s="19" t="str">
        <x:f>IFERROR(INDEX('VIP Signups'!E$5:E$204,MATCH(ROWS($A$5:A100),'VIP Signups'!$K$5:$K$204,0)),"")</x:f>
      </x:c>
      <x:c r="G100" s="19" t="str">
        <x:f>IFERROR(INDEX('VIP Signups'!H$5:H$204,MATCH(ROWS($A$5:A100),'VIP Signups'!$K$5:$K$204,0)),"")</x:f>
      </x:c>
    </x:row>
    <x:row r="101">
      <x:c r="A101" s="19" t="str">
        <x:f>IFERROR(INDEX('VIP Signups'!A$5:A$204,MATCH(ROWS($A$5:A101),'VIP Signups'!$K$5:$K$204,0)),"")</x:f>
      </x:c>
      <x:c r="B101" s="20" t="str">
        <x:f>IFERROR(INDEX('VIP Signups'!D$5:D$204,MATCH(ROWS($A$5:A101),'VIP Signups'!$K$5:$K$204,0)),"")</x:f>
      </x:c>
      <x:c r="C101" s="19" t="str">
        <x:f>IFERROR(INDEX('VIP Signups'!F$5:F$204,MATCH(ROWS($A$5:A101),'VIP Signups'!$K$5:$K$204,0)),"")</x:f>
      </x:c>
      <x:c r="D101" s="19" t="str">
        <x:f>IFERROR(INDEX('VIP Signups'!G$5:G$204,MATCH(ROWS($A$5:A101),'VIP Signups'!$K$5:$K$204,0)),"")</x:f>
      </x:c>
      <x:c r="E101" s="19" t="str">
        <x:f>IFERROR(INDEX('VIP Signups'!C$5:C$204,MATCH(ROWS($A$5:A101),'VIP Signups'!$K$5:$K$204,0)),"")</x:f>
      </x:c>
      <x:c r="F101" s="19" t="str">
        <x:f>IFERROR(INDEX('VIP Signups'!E$5:E$204,MATCH(ROWS($A$5:A101),'VIP Signups'!$K$5:$K$204,0)),"")</x:f>
      </x:c>
      <x:c r="G101" s="19" t="str">
        <x:f>IFERROR(INDEX('VIP Signups'!H$5:H$204,MATCH(ROWS($A$5:A101),'VIP Signups'!$K$5:$K$204,0)),"")</x:f>
      </x:c>
    </x:row>
    <x:row r="102">
      <x:c r="A102" s="19" t="str">
        <x:f>IFERROR(INDEX('VIP Signups'!A$5:A$204,MATCH(ROWS($A$5:A102),'VIP Signups'!$K$5:$K$204,0)),"")</x:f>
      </x:c>
      <x:c r="B102" s="20" t="str">
        <x:f>IFERROR(INDEX('VIP Signups'!D$5:D$204,MATCH(ROWS($A$5:A102),'VIP Signups'!$K$5:$K$204,0)),"")</x:f>
      </x:c>
      <x:c r="C102" s="19" t="str">
        <x:f>IFERROR(INDEX('VIP Signups'!F$5:F$204,MATCH(ROWS($A$5:A102),'VIP Signups'!$K$5:$K$204,0)),"")</x:f>
      </x:c>
      <x:c r="D102" s="19" t="str">
        <x:f>IFERROR(INDEX('VIP Signups'!G$5:G$204,MATCH(ROWS($A$5:A102),'VIP Signups'!$K$5:$K$204,0)),"")</x:f>
      </x:c>
      <x:c r="E102" s="19" t="str">
        <x:f>IFERROR(INDEX('VIP Signups'!C$5:C$204,MATCH(ROWS($A$5:A102),'VIP Signups'!$K$5:$K$204,0)),"")</x:f>
      </x:c>
      <x:c r="F102" s="19" t="str">
        <x:f>IFERROR(INDEX('VIP Signups'!E$5:E$204,MATCH(ROWS($A$5:A102),'VIP Signups'!$K$5:$K$204,0)),"")</x:f>
      </x:c>
      <x:c r="G102" s="19" t="str">
        <x:f>IFERROR(INDEX('VIP Signups'!H$5:H$204,MATCH(ROWS($A$5:A102),'VIP Signups'!$K$5:$K$204,0)),"")</x:f>
      </x:c>
    </x:row>
    <x:row r="103">
      <x:c r="A103" s="19" t="str">
        <x:f>IFERROR(INDEX('VIP Signups'!A$5:A$204,MATCH(ROWS($A$5:A103),'VIP Signups'!$K$5:$K$204,0)),"")</x:f>
      </x:c>
      <x:c r="B103" s="20" t="str">
        <x:f>IFERROR(INDEX('VIP Signups'!D$5:D$204,MATCH(ROWS($A$5:A103),'VIP Signups'!$K$5:$K$204,0)),"")</x:f>
      </x:c>
      <x:c r="C103" s="19" t="str">
        <x:f>IFERROR(INDEX('VIP Signups'!F$5:F$204,MATCH(ROWS($A$5:A103),'VIP Signups'!$K$5:$K$204,0)),"")</x:f>
      </x:c>
      <x:c r="D103" s="19" t="str">
        <x:f>IFERROR(INDEX('VIP Signups'!G$5:G$204,MATCH(ROWS($A$5:A103),'VIP Signups'!$K$5:$K$204,0)),"")</x:f>
      </x:c>
      <x:c r="E103" s="19" t="str">
        <x:f>IFERROR(INDEX('VIP Signups'!C$5:C$204,MATCH(ROWS($A$5:A103),'VIP Signups'!$K$5:$K$204,0)),"")</x:f>
      </x:c>
      <x:c r="F103" s="19" t="str">
        <x:f>IFERROR(INDEX('VIP Signups'!E$5:E$204,MATCH(ROWS($A$5:A103),'VIP Signups'!$K$5:$K$204,0)),"")</x:f>
      </x:c>
      <x:c r="G103" s="19" t="str">
        <x:f>IFERROR(INDEX('VIP Signups'!H$5:H$204,MATCH(ROWS($A$5:A103),'VIP Signups'!$K$5:$K$204,0)),"")</x:f>
      </x:c>
    </x:row>
    <x:row r="104">
      <x:c r="A104" s="19" t="str">
        <x:f>IFERROR(INDEX('VIP Signups'!A$5:A$204,MATCH(ROWS($A$5:A104),'VIP Signups'!$K$5:$K$204,0)),"")</x:f>
      </x:c>
      <x:c r="B104" s="20" t="str">
        <x:f>IFERROR(INDEX('VIP Signups'!D$5:D$204,MATCH(ROWS($A$5:A104),'VIP Signups'!$K$5:$K$204,0)),"")</x:f>
      </x:c>
      <x:c r="C104" s="19" t="str">
        <x:f>IFERROR(INDEX('VIP Signups'!F$5:F$204,MATCH(ROWS($A$5:A104),'VIP Signups'!$K$5:$K$204,0)),"")</x:f>
      </x:c>
      <x:c r="D104" s="19" t="str">
        <x:f>IFERROR(INDEX('VIP Signups'!G$5:G$204,MATCH(ROWS($A$5:A104),'VIP Signups'!$K$5:$K$204,0)),"")</x:f>
      </x:c>
      <x:c r="E104" s="19" t="str">
        <x:f>IFERROR(INDEX('VIP Signups'!C$5:C$204,MATCH(ROWS($A$5:A104),'VIP Signups'!$K$5:$K$204,0)),"")</x:f>
      </x:c>
      <x:c r="F104" s="19" t="str">
        <x:f>IFERROR(INDEX('VIP Signups'!E$5:E$204,MATCH(ROWS($A$5:A104),'VIP Signups'!$K$5:$K$204,0)),"")</x:f>
      </x:c>
      <x:c r="G104" s="19" t="str">
        <x:f>IFERROR(INDEX('VIP Signups'!H$5:H$204,MATCH(ROWS($A$5:A104),'VIP Signups'!$K$5:$K$204,0)),"")</x:f>
      </x:c>
    </x:row>
    <x:row r="105">
      <x:c r="A105" s="19" t="str">
        <x:f>IFERROR(INDEX('VIP Signups'!A$5:A$204,MATCH(ROWS($A$5:A105),'VIP Signups'!$K$5:$K$204,0)),"")</x:f>
      </x:c>
      <x:c r="B105" s="20" t="str">
        <x:f>IFERROR(INDEX('VIP Signups'!D$5:D$204,MATCH(ROWS($A$5:A105),'VIP Signups'!$K$5:$K$204,0)),"")</x:f>
      </x:c>
      <x:c r="C105" s="19" t="str">
        <x:f>IFERROR(INDEX('VIP Signups'!F$5:F$204,MATCH(ROWS($A$5:A105),'VIP Signups'!$K$5:$K$204,0)),"")</x:f>
      </x:c>
      <x:c r="D105" s="19" t="str">
        <x:f>IFERROR(INDEX('VIP Signups'!G$5:G$204,MATCH(ROWS($A$5:A105),'VIP Signups'!$K$5:$K$204,0)),"")</x:f>
      </x:c>
      <x:c r="E105" s="19" t="str">
        <x:f>IFERROR(INDEX('VIP Signups'!C$5:C$204,MATCH(ROWS($A$5:A105),'VIP Signups'!$K$5:$K$204,0)),"")</x:f>
      </x:c>
      <x:c r="F105" s="19" t="str">
        <x:f>IFERROR(INDEX('VIP Signups'!E$5:E$204,MATCH(ROWS($A$5:A105),'VIP Signups'!$K$5:$K$204,0)),"")</x:f>
      </x:c>
      <x:c r="G105" s="19" t="str">
        <x:f>IFERROR(INDEX('VIP Signups'!H$5:H$204,MATCH(ROWS($A$5:A105),'VIP Signups'!$K$5:$K$204,0)),"")</x:f>
      </x:c>
    </x:row>
    <x:row r="106">
      <x:c r="A106" s="19" t="str">
        <x:f>IFERROR(INDEX('VIP Signups'!A$5:A$204,MATCH(ROWS($A$5:A106),'VIP Signups'!$K$5:$K$204,0)),"")</x:f>
      </x:c>
      <x:c r="B106" s="20" t="str">
        <x:f>IFERROR(INDEX('VIP Signups'!D$5:D$204,MATCH(ROWS($A$5:A106),'VIP Signups'!$K$5:$K$204,0)),"")</x:f>
      </x:c>
      <x:c r="C106" s="19" t="str">
        <x:f>IFERROR(INDEX('VIP Signups'!F$5:F$204,MATCH(ROWS($A$5:A106),'VIP Signups'!$K$5:$K$204,0)),"")</x:f>
      </x:c>
      <x:c r="D106" s="19" t="str">
        <x:f>IFERROR(INDEX('VIP Signups'!G$5:G$204,MATCH(ROWS($A$5:A106),'VIP Signups'!$K$5:$K$204,0)),"")</x:f>
      </x:c>
      <x:c r="E106" s="19" t="str">
        <x:f>IFERROR(INDEX('VIP Signups'!C$5:C$204,MATCH(ROWS($A$5:A106),'VIP Signups'!$K$5:$K$204,0)),"")</x:f>
      </x:c>
      <x:c r="F106" s="19" t="str">
        <x:f>IFERROR(INDEX('VIP Signups'!E$5:E$204,MATCH(ROWS($A$5:A106),'VIP Signups'!$K$5:$K$204,0)),"")</x:f>
      </x:c>
      <x:c r="G106" s="19" t="str">
        <x:f>IFERROR(INDEX('VIP Signups'!H$5:H$204,MATCH(ROWS($A$5:A106),'VIP Signups'!$K$5:$K$204,0)),"")</x:f>
      </x:c>
    </x:row>
    <x:row r="107">
      <x:c r="A107" s="19" t="str">
        <x:f>IFERROR(INDEX('VIP Signups'!A$5:A$204,MATCH(ROWS($A$5:A107),'VIP Signups'!$K$5:$K$204,0)),"")</x:f>
      </x:c>
      <x:c r="B107" s="20" t="str">
        <x:f>IFERROR(INDEX('VIP Signups'!D$5:D$204,MATCH(ROWS($A$5:A107),'VIP Signups'!$K$5:$K$204,0)),"")</x:f>
      </x:c>
      <x:c r="C107" s="19" t="str">
        <x:f>IFERROR(INDEX('VIP Signups'!F$5:F$204,MATCH(ROWS($A$5:A107),'VIP Signups'!$K$5:$K$204,0)),"")</x:f>
      </x:c>
      <x:c r="D107" s="19" t="str">
        <x:f>IFERROR(INDEX('VIP Signups'!G$5:G$204,MATCH(ROWS($A$5:A107),'VIP Signups'!$K$5:$K$204,0)),"")</x:f>
      </x:c>
      <x:c r="E107" s="19" t="str">
        <x:f>IFERROR(INDEX('VIP Signups'!C$5:C$204,MATCH(ROWS($A$5:A107),'VIP Signups'!$K$5:$K$204,0)),"")</x:f>
      </x:c>
      <x:c r="F107" s="19" t="str">
        <x:f>IFERROR(INDEX('VIP Signups'!E$5:E$204,MATCH(ROWS($A$5:A107),'VIP Signups'!$K$5:$K$204,0)),"")</x:f>
      </x:c>
      <x:c r="G107" s="19" t="str">
        <x:f>IFERROR(INDEX('VIP Signups'!H$5:H$204,MATCH(ROWS($A$5:A107),'VIP Signups'!$K$5:$K$204,0)),"")</x:f>
      </x:c>
    </x:row>
    <x:row r="108">
      <x:c r="A108" s="19" t="str">
        <x:f>IFERROR(INDEX('VIP Signups'!A$5:A$204,MATCH(ROWS($A$5:A108),'VIP Signups'!$K$5:$K$204,0)),"")</x:f>
      </x:c>
      <x:c r="B108" s="20" t="str">
        <x:f>IFERROR(INDEX('VIP Signups'!D$5:D$204,MATCH(ROWS($A$5:A108),'VIP Signups'!$K$5:$K$204,0)),"")</x:f>
      </x:c>
      <x:c r="C108" s="19" t="str">
        <x:f>IFERROR(INDEX('VIP Signups'!F$5:F$204,MATCH(ROWS($A$5:A108),'VIP Signups'!$K$5:$K$204,0)),"")</x:f>
      </x:c>
      <x:c r="D108" s="19" t="str">
        <x:f>IFERROR(INDEX('VIP Signups'!G$5:G$204,MATCH(ROWS($A$5:A108),'VIP Signups'!$K$5:$K$204,0)),"")</x:f>
      </x:c>
      <x:c r="E108" s="19" t="str">
        <x:f>IFERROR(INDEX('VIP Signups'!C$5:C$204,MATCH(ROWS($A$5:A108),'VIP Signups'!$K$5:$K$204,0)),"")</x:f>
      </x:c>
      <x:c r="F108" s="19" t="str">
        <x:f>IFERROR(INDEX('VIP Signups'!E$5:E$204,MATCH(ROWS($A$5:A108),'VIP Signups'!$K$5:$K$204,0)),"")</x:f>
      </x:c>
      <x:c r="G108" s="19" t="str">
        <x:f>IFERROR(INDEX('VIP Signups'!H$5:H$204,MATCH(ROWS($A$5:A108),'VIP Signups'!$K$5:$K$204,0)),"")</x:f>
      </x:c>
    </x:row>
    <x:row r="109">
      <x:c r="A109" s="19" t="str">
        <x:f>IFERROR(INDEX('VIP Signups'!A$5:A$204,MATCH(ROWS($A$5:A109),'VIP Signups'!$K$5:$K$204,0)),"")</x:f>
      </x:c>
      <x:c r="B109" s="20" t="str">
        <x:f>IFERROR(INDEX('VIP Signups'!D$5:D$204,MATCH(ROWS($A$5:A109),'VIP Signups'!$K$5:$K$204,0)),"")</x:f>
      </x:c>
      <x:c r="C109" s="19" t="str">
        <x:f>IFERROR(INDEX('VIP Signups'!F$5:F$204,MATCH(ROWS($A$5:A109),'VIP Signups'!$K$5:$K$204,0)),"")</x:f>
      </x:c>
      <x:c r="D109" s="19" t="str">
        <x:f>IFERROR(INDEX('VIP Signups'!G$5:G$204,MATCH(ROWS($A$5:A109),'VIP Signups'!$K$5:$K$204,0)),"")</x:f>
      </x:c>
      <x:c r="E109" s="19" t="str">
        <x:f>IFERROR(INDEX('VIP Signups'!C$5:C$204,MATCH(ROWS($A$5:A109),'VIP Signups'!$K$5:$K$204,0)),"")</x:f>
      </x:c>
      <x:c r="F109" s="19" t="str">
        <x:f>IFERROR(INDEX('VIP Signups'!E$5:E$204,MATCH(ROWS($A$5:A109),'VIP Signups'!$K$5:$K$204,0)),"")</x:f>
      </x:c>
      <x:c r="G109" s="19" t="str">
        <x:f>IFERROR(INDEX('VIP Signups'!H$5:H$204,MATCH(ROWS($A$5:A109),'VIP Signups'!$K$5:$K$204,0)),"")</x:f>
      </x:c>
    </x:row>
    <x:row r="110">
      <x:c r="A110" s="19" t="str">
        <x:f>IFERROR(INDEX('VIP Signups'!A$5:A$204,MATCH(ROWS($A$5:A110),'VIP Signups'!$K$5:$K$204,0)),"")</x:f>
      </x:c>
      <x:c r="B110" s="20" t="str">
        <x:f>IFERROR(INDEX('VIP Signups'!D$5:D$204,MATCH(ROWS($A$5:A110),'VIP Signups'!$K$5:$K$204,0)),"")</x:f>
      </x:c>
      <x:c r="C110" s="19" t="str">
        <x:f>IFERROR(INDEX('VIP Signups'!F$5:F$204,MATCH(ROWS($A$5:A110),'VIP Signups'!$K$5:$K$204,0)),"")</x:f>
      </x:c>
      <x:c r="D110" s="19" t="str">
        <x:f>IFERROR(INDEX('VIP Signups'!G$5:G$204,MATCH(ROWS($A$5:A110),'VIP Signups'!$K$5:$K$204,0)),"")</x:f>
      </x:c>
      <x:c r="E110" s="19" t="str">
        <x:f>IFERROR(INDEX('VIP Signups'!C$5:C$204,MATCH(ROWS($A$5:A110),'VIP Signups'!$K$5:$K$204,0)),"")</x:f>
      </x:c>
      <x:c r="F110" s="19" t="str">
        <x:f>IFERROR(INDEX('VIP Signups'!E$5:E$204,MATCH(ROWS($A$5:A110),'VIP Signups'!$K$5:$K$204,0)),"")</x:f>
      </x:c>
      <x:c r="G110" s="19" t="str">
        <x:f>IFERROR(INDEX('VIP Signups'!H$5:H$204,MATCH(ROWS($A$5:A110),'VIP Signups'!$K$5:$K$204,0)),"")</x:f>
      </x:c>
    </x:row>
    <x:row r="111">
      <x:c r="A111" s="19" t="str">
        <x:f>IFERROR(INDEX('VIP Signups'!A$5:A$204,MATCH(ROWS($A$5:A111),'VIP Signups'!$K$5:$K$204,0)),"")</x:f>
      </x:c>
      <x:c r="B111" s="20" t="str">
        <x:f>IFERROR(INDEX('VIP Signups'!D$5:D$204,MATCH(ROWS($A$5:A111),'VIP Signups'!$K$5:$K$204,0)),"")</x:f>
      </x:c>
      <x:c r="C111" s="19" t="str">
        <x:f>IFERROR(INDEX('VIP Signups'!F$5:F$204,MATCH(ROWS($A$5:A111),'VIP Signups'!$K$5:$K$204,0)),"")</x:f>
      </x:c>
      <x:c r="D111" s="19" t="str">
        <x:f>IFERROR(INDEX('VIP Signups'!G$5:G$204,MATCH(ROWS($A$5:A111),'VIP Signups'!$K$5:$K$204,0)),"")</x:f>
      </x:c>
      <x:c r="E111" s="19" t="str">
        <x:f>IFERROR(INDEX('VIP Signups'!C$5:C$204,MATCH(ROWS($A$5:A111),'VIP Signups'!$K$5:$K$204,0)),"")</x:f>
      </x:c>
      <x:c r="F111" s="19" t="str">
        <x:f>IFERROR(INDEX('VIP Signups'!E$5:E$204,MATCH(ROWS($A$5:A111),'VIP Signups'!$K$5:$K$204,0)),"")</x:f>
      </x:c>
      <x:c r="G111" s="19" t="str">
        <x:f>IFERROR(INDEX('VIP Signups'!H$5:H$204,MATCH(ROWS($A$5:A111),'VIP Signups'!$K$5:$K$204,0)),"")</x:f>
      </x:c>
    </x:row>
    <x:row r="112">
      <x:c r="A112" s="19" t="str">
        <x:f>IFERROR(INDEX('VIP Signups'!A$5:A$204,MATCH(ROWS($A$5:A112),'VIP Signups'!$K$5:$K$204,0)),"")</x:f>
      </x:c>
      <x:c r="B112" s="20" t="str">
        <x:f>IFERROR(INDEX('VIP Signups'!D$5:D$204,MATCH(ROWS($A$5:A112),'VIP Signups'!$K$5:$K$204,0)),"")</x:f>
      </x:c>
      <x:c r="C112" s="19" t="str">
        <x:f>IFERROR(INDEX('VIP Signups'!F$5:F$204,MATCH(ROWS($A$5:A112),'VIP Signups'!$K$5:$K$204,0)),"")</x:f>
      </x:c>
      <x:c r="D112" s="19" t="str">
        <x:f>IFERROR(INDEX('VIP Signups'!G$5:G$204,MATCH(ROWS($A$5:A112),'VIP Signups'!$K$5:$K$204,0)),"")</x:f>
      </x:c>
      <x:c r="E112" s="19" t="str">
        <x:f>IFERROR(INDEX('VIP Signups'!C$5:C$204,MATCH(ROWS($A$5:A112),'VIP Signups'!$K$5:$K$204,0)),"")</x:f>
      </x:c>
      <x:c r="F112" s="19" t="str">
        <x:f>IFERROR(INDEX('VIP Signups'!E$5:E$204,MATCH(ROWS($A$5:A112),'VIP Signups'!$K$5:$K$204,0)),"")</x:f>
      </x:c>
      <x:c r="G112" s="19" t="str">
        <x:f>IFERROR(INDEX('VIP Signups'!H$5:H$204,MATCH(ROWS($A$5:A112),'VIP Signups'!$K$5:$K$204,0)),"")</x:f>
      </x:c>
    </x:row>
    <x:row r="113">
      <x:c r="A113" s="19" t="str">
        <x:f>IFERROR(INDEX('VIP Signups'!A$5:A$204,MATCH(ROWS($A$5:A113),'VIP Signups'!$K$5:$K$204,0)),"")</x:f>
      </x:c>
      <x:c r="B113" s="20" t="str">
        <x:f>IFERROR(INDEX('VIP Signups'!D$5:D$204,MATCH(ROWS($A$5:A113),'VIP Signups'!$K$5:$K$204,0)),"")</x:f>
      </x:c>
      <x:c r="C113" s="19" t="str">
        <x:f>IFERROR(INDEX('VIP Signups'!F$5:F$204,MATCH(ROWS($A$5:A113),'VIP Signups'!$K$5:$K$204,0)),"")</x:f>
      </x:c>
      <x:c r="D113" s="19" t="str">
        <x:f>IFERROR(INDEX('VIP Signups'!G$5:G$204,MATCH(ROWS($A$5:A113),'VIP Signups'!$K$5:$K$204,0)),"")</x:f>
      </x:c>
      <x:c r="E113" s="19" t="str">
        <x:f>IFERROR(INDEX('VIP Signups'!C$5:C$204,MATCH(ROWS($A$5:A113),'VIP Signups'!$K$5:$K$204,0)),"")</x:f>
      </x:c>
      <x:c r="F113" s="19" t="str">
        <x:f>IFERROR(INDEX('VIP Signups'!E$5:E$204,MATCH(ROWS($A$5:A113),'VIP Signups'!$K$5:$K$204,0)),"")</x:f>
      </x:c>
      <x:c r="G113" s="19" t="str">
        <x:f>IFERROR(INDEX('VIP Signups'!H$5:H$204,MATCH(ROWS($A$5:A113),'VIP Signups'!$K$5:$K$204,0)),"")</x:f>
      </x:c>
    </x:row>
    <x:row r="114">
      <x:c r="A114" s="19" t="str">
        <x:f>IFERROR(INDEX('VIP Signups'!A$5:A$204,MATCH(ROWS($A$5:A114),'VIP Signups'!$K$5:$K$204,0)),"")</x:f>
      </x:c>
      <x:c r="B114" s="20" t="str">
        <x:f>IFERROR(INDEX('VIP Signups'!D$5:D$204,MATCH(ROWS($A$5:A114),'VIP Signups'!$K$5:$K$204,0)),"")</x:f>
      </x:c>
      <x:c r="C114" s="19" t="str">
        <x:f>IFERROR(INDEX('VIP Signups'!F$5:F$204,MATCH(ROWS($A$5:A114),'VIP Signups'!$K$5:$K$204,0)),"")</x:f>
      </x:c>
      <x:c r="D114" s="19" t="str">
        <x:f>IFERROR(INDEX('VIP Signups'!G$5:G$204,MATCH(ROWS($A$5:A114),'VIP Signups'!$K$5:$K$204,0)),"")</x:f>
      </x:c>
      <x:c r="E114" s="19" t="str">
        <x:f>IFERROR(INDEX('VIP Signups'!C$5:C$204,MATCH(ROWS($A$5:A114),'VIP Signups'!$K$5:$K$204,0)),"")</x:f>
      </x:c>
      <x:c r="F114" s="19" t="str">
        <x:f>IFERROR(INDEX('VIP Signups'!E$5:E$204,MATCH(ROWS($A$5:A114),'VIP Signups'!$K$5:$K$204,0)),"")</x:f>
      </x:c>
      <x:c r="G114" s="19" t="str">
        <x:f>IFERROR(INDEX('VIP Signups'!H$5:H$204,MATCH(ROWS($A$5:A114),'VIP Signups'!$K$5:$K$204,0)),"")</x:f>
      </x:c>
    </x:row>
    <x:row r="115">
      <x:c r="A115" s="19" t="str">
        <x:f>IFERROR(INDEX('VIP Signups'!A$5:A$204,MATCH(ROWS($A$5:A115),'VIP Signups'!$K$5:$K$204,0)),"")</x:f>
      </x:c>
      <x:c r="B115" s="20" t="str">
        <x:f>IFERROR(INDEX('VIP Signups'!D$5:D$204,MATCH(ROWS($A$5:A115),'VIP Signups'!$K$5:$K$204,0)),"")</x:f>
      </x:c>
      <x:c r="C115" s="19" t="str">
        <x:f>IFERROR(INDEX('VIP Signups'!F$5:F$204,MATCH(ROWS($A$5:A115),'VIP Signups'!$K$5:$K$204,0)),"")</x:f>
      </x:c>
      <x:c r="D115" s="19" t="str">
        <x:f>IFERROR(INDEX('VIP Signups'!G$5:G$204,MATCH(ROWS($A$5:A115),'VIP Signups'!$K$5:$K$204,0)),"")</x:f>
      </x:c>
      <x:c r="E115" s="19" t="str">
        <x:f>IFERROR(INDEX('VIP Signups'!C$5:C$204,MATCH(ROWS($A$5:A115),'VIP Signups'!$K$5:$K$204,0)),"")</x:f>
      </x:c>
      <x:c r="F115" s="19" t="str">
        <x:f>IFERROR(INDEX('VIP Signups'!E$5:E$204,MATCH(ROWS($A$5:A115),'VIP Signups'!$K$5:$K$204,0)),"")</x:f>
      </x:c>
      <x:c r="G115" s="19" t="str">
        <x:f>IFERROR(INDEX('VIP Signups'!H$5:H$204,MATCH(ROWS($A$5:A115),'VIP Signups'!$K$5:$K$204,0)),"")</x:f>
      </x:c>
    </x:row>
    <x:row r="116">
      <x:c r="A116" s="19" t="str">
        <x:f>IFERROR(INDEX('VIP Signups'!A$5:A$204,MATCH(ROWS($A$5:A116),'VIP Signups'!$K$5:$K$204,0)),"")</x:f>
      </x:c>
      <x:c r="B116" s="20" t="str">
        <x:f>IFERROR(INDEX('VIP Signups'!D$5:D$204,MATCH(ROWS($A$5:A116),'VIP Signups'!$K$5:$K$204,0)),"")</x:f>
      </x:c>
      <x:c r="C116" s="19" t="str">
        <x:f>IFERROR(INDEX('VIP Signups'!F$5:F$204,MATCH(ROWS($A$5:A116),'VIP Signups'!$K$5:$K$204,0)),"")</x:f>
      </x:c>
      <x:c r="D116" s="19" t="str">
        <x:f>IFERROR(INDEX('VIP Signups'!G$5:G$204,MATCH(ROWS($A$5:A116),'VIP Signups'!$K$5:$K$204,0)),"")</x:f>
      </x:c>
      <x:c r="E116" s="19" t="str">
        <x:f>IFERROR(INDEX('VIP Signups'!C$5:C$204,MATCH(ROWS($A$5:A116),'VIP Signups'!$K$5:$K$204,0)),"")</x:f>
      </x:c>
      <x:c r="F116" s="19" t="str">
        <x:f>IFERROR(INDEX('VIP Signups'!E$5:E$204,MATCH(ROWS($A$5:A116),'VIP Signups'!$K$5:$K$204,0)),"")</x:f>
      </x:c>
      <x:c r="G116" s="19" t="str">
        <x:f>IFERROR(INDEX('VIP Signups'!H$5:H$204,MATCH(ROWS($A$5:A116),'VIP Signups'!$K$5:$K$204,0)),"")</x:f>
      </x:c>
    </x:row>
    <x:row r="117">
      <x:c r="A117" s="19" t="str">
        <x:f>IFERROR(INDEX('VIP Signups'!A$5:A$204,MATCH(ROWS($A$5:A117),'VIP Signups'!$K$5:$K$204,0)),"")</x:f>
      </x:c>
      <x:c r="B117" s="20" t="str">
        <x:f>IFERROR(INDEX('VIP Signups'!D$5:D$204,MATCH(ROWS($A$5:A117),'VIP Signups'!$K$5:$K$204,0)),"")</x:f>
      </x:c>
      <x:c r="C117" s="19" t="str">
        <x:f>IFERROR(INDEX('VIP Signups'!F$5:F$204,MATCH(ROWS($A$5:A117),'VIP Signups'!$K$5:$K$204,0)),"")</x:f>
      </x:c>
      <x:c r="D117" s="19" t="str">
        <x:f>IFERROR(INDEX('VIP Signups'!G$5:G$204,MATCH(ROWS($A$5:A117),'VIP Signups'!$K$5:$K$204,0)),"")</x:f>
      </x:c>
      <x:c r="E117" s="19" t="str">
        <x:f>IFERROR(INDEX('VIP Signups'!C$5:C$204,MATCH(ROWS($A$5:A117),'VIP Signups'!$K$5:$K$204,0)),"")</x:f>
      </x:c>
      <x:c r="F117" s="19" t="str">
        <x:f>IFERROR(INDEX('VIP Signups'!E$5:E$204,MATCH(ROWS($A$5:A117),'VIP Signups'!$K$5:$K$204,0)),"")</x:f>
      </x:c>
      <x:c r="G117" s="19" t="str">
        <x:f>IFERROR(INDEX('VIP Signups'!H$5:H$204,MATCH(ROWS($A$5:A117),'VIP Signups'!$K$5:$K$204,0)),"")</x:f>
      </x:c>
    </x:row>
    <x:row r="118">
      <x:c r="A118" s="19" t="str">
        <x:f>IFERROR(INDEX('VIP Signups'!A$5:A$204,MATCH(ROWS($A$5:A118),'VIP Signups'!$K$5:$K$204,0)),"")</x:f>
      </x:c>
      <x:c r="B118" s="20" t="str">
        <x:f>IFERROR(INDEX('VIP Signups'!D$5:D$204,MATCH(ROWS($A$5:A118),'VIP Signups'!$K$5:$K$204,0)),"")</x:f>
      </x:c>
      <x:c r="C118" s="19" t="str">
        <x:f>IFERROR(INDEX('VIP Signups'!F$5:F$204,MATCH(ROWS($A$5:A118),'VIP Signups'!$K$5:$K$204,0)),"")</x:f>
      </x:c>
      <x:c r="D118" s="19" t="str">
        <x:f>IFERROR(INDEX('VIP Signups'!G$5:G$204,MATCH(ROWS($A$5:A118),'VIP Signups'!$K$5:$K$204,0)),"")</x:f>
      </x:c>
      <x:c r="E118" s="19" t="str">
        <x:f>IFERROR(INDEX('VIP Signups'!C$5:C$204,MATCH(ROWS($A$5:A118),'VIP Signups'!$K$5:$K$204,0)),"")</x:f>
      </x:c>
      <x:c r="F118" s="19" t="str">
        <x:f>IFERROR(INDEX('VIP Signups'!E$5:E$204,MATCH(ROWS($A$5:A118),'VIP Signups'!$K$5:$K$204,0)),"")</x:f>
      </x:c>
      <x:c r="G118" s="19" t="str">
        <x:f>IFERROR(INDEX('VIP Signups'!H$5:H$204,MATCH(ROWS($A$5:A118),'VIP Signups'!$K$5:$K$204,0)),"")</x:f>
      </x:c>
    </x:row>
    <x:row r="119">
      <x:c r="A119" s="19" t="str">
        <x:f>IFERROR(INDEX('VIP Signups'!A$5:A$204,MATCH(ROWS($A$5:A119),'VIP Signups'!$K$5:$K$204,0)),"")</x:f>
      </x:c>
      <x:c r="B119" s="20" t="str">
        <x:f>IFERROR(INDEX('VIP Signups'!D$5:D$204,MATCH(ROWS($A$5:A119),'VIP Signups'!$K$5:$K$204,0)),"")</x:f>
      </x:c>
      <x:c r="C119" s="19" t="str">
        <x:f>IFERROR(INDEX('VIP Signups'!F$5:F$204,MATCH(ROWS($A$5:A119),'VIP Signups'!$K$5:$K$204,0)),"")</x:f>
      </x:c>
      <x:c r="D119" s="19" t="str">
        <x:f>IFERROR(INDEX('VIP Signups'!G$5:G$204,MATCH(ROWS($A$5:A119),'VIP Signups'!$K$5:$K$204,0)),"")</x:f>
      </x:c>
      <x:c r="E119" s="19" t="str">
        <x:f>IFERROR(INDEX('VIP Signups'!C$5:C$204,MATCH(ROWS($A$5:A119),'VIP Signups'!$K$5:$K$204,0)),"")</x:f>
      </x:c>
      <x:c r="F119" s="19" t="str">
        <x:f>IFERROR(INDEX('VIP Signups'!E$5:E$204,MATCH(ROWS($A$5:A119),'VIP Signups'!$K$5:$K$204,0)),"")</x:f>
      </x:c>
      <x:c r="G119" s="19" t="str">
        <x:f>IFERROR(INDEX('VIP Signups'!H$5:H$204,MATCH(ROWS($A$5:A119),'VIP Signups'!$K$5:$K$204,0)),"")</x:f>
      </x:c>
    </x:row>
    <x:row r="120">
      <x:c r="A120" s="19" t="str">
        <x:f>IFERROR(INDEX('VIP Signups'!A$5:A$204,MATCH(ROWS($A$5:A120),'VIP Signups'!$K$5:$K$204,0)),"")</x:f>
      </x:c>
      <x:c r="B120" s="20" t="str">
        <x:f>IFERROR(INDEX('VIP Signups'!D$5:D$204,MATCH(ROWS($A$5:A120),'VIP Signups'!$K$5:$K$204,0)),"")</x:f>
      </x:c>
      <x:c r="C120" s="19" t="str">
        <x:f>IFERROR(INDEX('VIP Signups'!F$5:F$204,MATCH(ROWS($A$5:A120),'VIP Signups'!$K$5:$K$204,0)),"")</x:f>
      </x:c>
      <x:c r="D120" s="19" t="str">
        <x:f>IFERROR(INDEX('VIP Signups'!G$5:G$204,MATCH(ROWS($A$5:A120),'VIP Signups'!$K$5:$K$204,0)),"")</x:f>
      </x:c>
      <x:c r="E120" s="19" t="str">
        <x:f>IFERROR(INDEX('VIP Signups'!C$5:C$204,MATCH(ROWS($A$5:A120),'VIP Signups'!$K$5:$K$204,0)),"")</x:f>
      </x:c>
      <x:c r="F120" s="19" t="str">
        <x:f>IFERROR(INDEX('VIP Signups'!E$5:E$204,MATCH(ROWS($A$5:A120),'VIP Signups'!$K$5:$K$204,0)),"")</x:f>
      </x:c>
      <x:c r="G120" s="19" t="str">
        <x:f>IFERROR(INDEX('VIP Signups'!H$5:H$204,MATCH(ROWS($A$5:A120),'VIP Signups'!$K$5:$K$204,0)),"")</x:f>
      </x:c>
    </x:row>
    <x:row r="121">
      <x:c r="A121" s="19" t="str">
        <x:f>IFERROR(INDEX('VIP Signups'!A$5:A$204,MATCH(ROWS($A$5:A121),'VIP Signups'!$K$5:$K$204,0)),"")</x:f>
      </x:c>
      <x:c r="B121" s="20" t="str">
        <x:f>IFERROR(INDEX('VIP Signups'!D$5:D$204,MATCH(ROWS($A$5:A121),'VIP Signups'!$K$5:$K$204,0)),"")</x:f>
      </x:c>
      <x:c r="C121" s="19" t="str">
        <x:f>IFERROR(INDEX('VIP Signups'!F$5:F$204,MATCH(ROWS($A$5:A121),'VIP Signups'!$K$5:$K$204,0)),"")</x:f>
      </x:c>
      <x:c r="D121" s="19" t="str">
        <x:f>IFERROR(INDEX('VIP Signups'!G$5:G$204,MATCH(ROWS($A$5:A121),'VIP Signups'!$K$5:$K$204,0)),"")</x:f>
      </x:c>
      <x:c r="E121" s="19" t="str">
        <x:f>IFERROR(INDEX('VIP Signups'!C$5:C$204,MATCH(ROWS($A$5:A121),'VIP Signups'!$K$5:$K$204,0)),"")</x:f>
      </x:c>
      <x:c r="F121" s="19" t="str">
        <x:f>IFERROR(INDEX('VIP Signups'!E$5:E$204,MATCH(ROWS($A$5:A121),'VIP Signups'!$K$5:$K$204,0)),"")</x:f>
      </x:c>
      <x:c r="G121" s="19" t="str">
        <x:f>IFERROR(INDEX('VIP Signups'!H$5:H$204,MATCH(ROWS($A$5:A121),'VIP Signups'!$K$5:$K$204,0)),"")</x:f>
      </x:c>
    </x:row>
    <x:row r="122">
      <x:c r="A122" s="19" t="str">
        <x:f>IFERROR(INDEX('VIP Signups'!A$5:A$204,MATCH(ROWS($A$5:A122),'VIP Signups'!$K$5:$K$204,0)),"")</x:f>
      </x:c>
      <x:c r="B122" s="20" t="str">
        <x:f>IFERROR(INDEX('VIP Signups'!D$5:D$204,MATCH(ROWS($A$5:A122),'VIP Signups'!$K$5:$K$204,0)),"")</x:f>
      </x:c>
      <x:c r="C122" s="19" t="str">
        <x:f>IFERROR(INDEX('VIP Signups'!F$5:F$204,MATCH(ROWS($A$5:A122),'VIP Signups'!$K$5:$K$204,0)),"")</x:f>
      </x:c>
      <x:c r="D122" s="19" t="str">
        <x:f>IFERROR(INDEX('VIP Signups'!G$5:G$204,MATCH(ROWS($A$5:A122),'VIP Signups'!$K$5:$K$204,0)),"")</x:f>
      </x:c>
      <x:c r="E122" s="19" t="str">
        <x:f>IFERROR(INDEX('VIP Signups'!C$5:C$204,MATCH(ROWS($A$5:A122),'VIP Signups'!$K$5:$K$204,0)),"")</x:f>
      </x:c>
      <x:c r="F122" s="19" t="str">
        <x:f>IFERROR(INDEX('VIP Signups'!E$5:E$204,MATCH(ROWS($A$5:A122),'VIP Signups'!$K$5:$K$204,0)),"")</x:f>
      </x:c>
      <x:c r="G122" s="19" t="str">
        <x:f>IFERROR(INDEX('VIP Signups'!H$5:H$204,MATCH(ROWS($A$5:A122),'VIP Signups'!$K$5:$K$204,0)),"")</x:f>
      </x:c>
    </x:row>
    <x:row r="123">
      <x:c r="A123" s="19" t="str">
        <x:f>IFERROR(INDEX('VIP Signups'!A$5:A$204,MATCH(ROWS($A$5:A123),'VIP Signups'!$K$5:$K$204,0)),"")</x:f>
      </x:c>
      <x:c r="B123" s="20" t="str">
        <x:f>IFERROR(INDEX('VIP Signups'!D$5:D$204,MATCH(ROWS($A$5:A123),'VIP Signups'!$K$5:$K$204,0)),"")</x:f>
      </x:c>
      <x:c r="C123" s="19" t="str">
        <x:f>IFERROR(INDEX('VIP Signups'!F$5:F$204,MATCH(ROWS($A$5:A123),'VIP Signups'!$K$5:$K$204,0)),"")</x:f>
      </x:c>
      <x:c r="D123" s="19" t="str">
        <x:f>IFERROR(INDEX('VIP Signups'!G$5:G$204,MATCH(ROWS($A$5:A123),'VIP Signups'!$K$5:$K$204,0)),"")</x:f>
      </x:c>
      <x:c r="E123" s="19" t="str">
        <x:f>IFERROR(INDEX('VIP Signups'!C$5:C$204,MATCH(ROWS($A$5:A123),'VIP Signups'!$K$5:$K$204,0)),"")</x:f>
      </x:c>
      <x:c r="F123" s="19" t="str">
        <x:f>IFERROR(INDEX('VIP Signups'!E$5:E$204,MATCH(ROWS($A$5:A123),'VIP Signups'!$K$5:$K$204,0)),"")</x:f>
      </x:c>
      <x:c r="G123" s="19" t="str">
        <x:f>IFERROR(INDEX('VIP Signups'!H$5:H$204,MATCH(ROWS($A$5:A123),'VIP Signups'!$K$5:$K$204,0)),"")</x:f>
      </x:c>
    </x:row>
    <x:row r="124">
      <x:c r="A124" s="19" t="str">
        <x:f>IFERROR(INDEX('VIP Signups'!A$5:A$204,MATCH(ROWS($A$5:A124),'VIP Signups'!$K$5:$K$204,0)),"")</x:f>
      </x:c>
      <x:c r="B124" s="20" t="str">
        <x:f>IFERROR(INDEX('VIP Signups'!D$5:D$204,MATCH(ROWS($A$5:A124),'VIP Signups'!$K$5:$K$204,0)),"")</x:f>
      </x:c>
      <x:c r="C124" s="19" t="str">
        <x:f>IFERROR(INDEX('VIP Signups'!F$5:F$204,MATCH(ROWS($A$5:A124),'VIP Signups'!$K$5:$K$204,0)),"")</x:f>
      </x:c>
      <x:c r="D124" s="19" t="str">
        <x:f>IFERROR(INDEX('VIP Signups'!G$5:G$204,MATCH(ROWS($A$5:A124),'VIP Signups'!$K$5:$K$204,0)),"")</x:f>
      </x:c>
      <x:c r="E124" s="19" t="str">
        <x:f>IFERROR(INDEX('VIP Signups'!C$5:C$204,MATCH(ROWS($A$5:A124),'VIP Signups'!$K$5:$K$204,0)),"")</x:f>
      </x:c>
      <x:c r="F124" s="19" t="str">
        <x:f>IFERROR(INDEX('VIP Signups'!E$5:E$204,MATCH(ROWS($A$5:A124),'VIP Signups'!$K$5:$K$204,0)),"")</x:f>
      </x:c>
      <x:c r="G124" s="19" t="str">
        <x:f>IFERROR(INDEX('VIP Signups'!H$5:H$204,MATCH(ROWS($A$5:A124),'VIP Signups'!$K$5:$K$204,0)),"")</x:f>
      </x:c>
    </x:row>
    <x:row r="125">
      <x:c r="A125" s="19" t="str">
        <x:f>IFERROR(INDEX('VIP Signups'!A$5:A$204,MATCH(ROWS($A$5:A125),'VIP Signups'!$K$5:$K$204,0)),"")</x:f>
      </x:c>
      <x:c r="B125" s="20" t="str">
        <x:f>IFERROR(INDEX('VIP Signups'!D$5:D$204,MATCH(ROWS($A$5:A125),'VIP Signups'!$K$5:$K$204,0)),"")</x:f>
      </x:c>
      <x:c r="C125" s="19" t="str">
        <x:f>IFERROR(INDEX('VIP Signups'!F$5:F$204,MATCH(ROWS($A$5:A125),'VIP Signups'!$K$5:$K$204,0)),"")</x:f>
      </x:c>
      <x:c r="D125" s="19" t="str">
        <x:f>IFERROR(INDEX('VIP Signups'!G$5:G$204,MATCH(ROWS($A$5:A125),'VIP Signups'!$K$5:$K$204,0)),"")</x:f>
      </x:c>
      <x:c r="E125" s="19" t="str">
        <x:f>IFERROR(INDEX('VIP Signups'!C$5:C$204,MATCH(ROWS($A$5:A125),'VIP Signups'!$K$5:$K$204,0)),"")</x:f>
      </x:c>
      <x:c r="F125" s="19" t="str">
        <x:f>IFERROR(INDEX('VIP Signups'!E$5:E$204,MATCH(ROWS($A$5:A125),'VIP Signups'!$K$5:$K$204,0)),"")</x:f>
      </x:c>
      <x:c r="G125" s="19" t="str">
        <x:f>IFERROR(INDEX('VIP Signups'!H$5:H$204,MATCH(ROWS($A$5:A125),'VIP Signups'!$K$5:$K$204,0)),"")</x:f>
      </x:c>
    </x:row>
    <x:row r="126">
      <x:c r="A126" s="19" t="str">
        <x:f>IFERROR(INDEX('VIP Signups'!A$5:A$204,MATCH(ROWS($A$5:A126),'VIP Signups'!$K$5:$K$204,0)),"")</x:f>
      </x:c>
      <x:c r="B126" s="20" t="str">
        <x:f>IFERROR(INDEX('VIP Signups'!D$5:D$204,MATCH(ROWS($A$5:A126),'VIP Signups'!$K$5:$K$204,0)),"")</x:f>
      </x:c>
      <x:c r="C126" s="19" t="str">
        <x:f>IFERROR(INDEX('VIP Signups'!F$5:F$204,MATCH(ROWS($A$5:A126),'VIP Signups'!$K$5:$K$204,0)),"")</x:f>
      </x:c>
      <x:c r="D126" s="19" t="str">
        <x:f>IFERROR(INDEX('VIP Signups'!G$5:G$204,MATCH(ROWS($A$5:A126),'VIP Signups'!$K$5:$K$204,0)),"")</x:f>
      </x:c>
      <x:c r="E126" s="19" t="str">
        <x:f>IFERROR(INDEX('VIP Signups'!C$5:C$204,MATCH(ROWS($A$5:A126),'VIP Signups'!$K$5:$K$204,0)),"")</x:f>
      </x:c>
      <x:c r="F126" s="19" t="str">
        <x:f>IFERROR(INDEX('VIP Signups'!E$5:E$204,MATCH(ROWS($A$5:A126),'VIP Signups'!$K$5:$K$204,0)),"")</x:f>
      </x:c>
      <x:c r="G126" s="19" t="str">
        <x:f>IFERROR(INDEX('VIP Signups'!H$5:H$204,MATCH(ROWS($A$5:A126),'VIP Signups'!$K$5:$K$204,0)),"")</x:f>
      </x:c>
    </x:row>
    <x:row r="127">
      <x:c r="A127" s="19" t="str">
        <x:f>IFERROR(INDEX('VIP Signups'!A$5:A$204,MATCH(ROWS($A$5:A127),'VIP Signups'!$K$5:$K$204,0)),"")</x:f>
      </x:c>
      <x:c r="B127" s="20" t="str">
        <x:f>IFERROR(INDEX('VIP Signups'!D$5:D$204,MATCH(ROWS($A$5:A127),'VIP Signups'!$K$5:$K$204,0)),"")</x:f>
      </x:c>
      <x:c r="C127" s="19" t="str">
        <x:f>IFERROR(INDEX('VIP Signups'!F$5:F$204,MATCH(ROWS($A$5:A127),'VIP Signups'!$K$5:$K$204,0)),"")</x:f>
      </x:c>
      <x:c r="D127" s="19" t="str">
        <x:f>IFERROR(INDEX('VIP Signups'!G$5:G$204,MATCH(ROWS($A$5:A127),'VIP Signups'!$K$5:$K$204,0)),"")</x:f>
      </x:c>
      <x:c r="E127" s="19" t="str">
        <x:f>IFERROR(INDEX('VIP Signups'!C$5:C$204,MATCH(ROWS($A$5:A127),'VIP Signups'!$K$5:$K$204,0)),"")</x:f>
      </x:c>
      <x:c r="F127" s="19" t="str">
        <x:f>IFERROR(INDEX('VIP Signups'!E$5:E$204,MATCH(ROWS($A$5:A127),'VIP Signups'!$K$5:$K$204,0)),"")</x:f>
      </x:c>
      <x:c r="G127" s="19" t="str">
        <x:f>IFERROR(INDEX('VIP Signups'!H$5:H$204,MATCH(ROWS($A$5:A127),'VIP Signups'!$K$5:$K$204,0)),"")</x:f>
      </x:c>
    </x:row>
    <x:row r="128">
      <x:c r="A128" s="19" t="str">
        <x:f>IFERROR(INDEX('VIP Signups'!A$5:A$204,MATCH(ROWS($A$5:A128),'VIP Signups'!$K$5:$K$204,0)),"")</x:f>
      </x:c>
      <x:c r="B128" s="20" t="str">
        <x:f>IFERROR(INDEX('VIP Signups'!D$5:D$204,MATCH(ROWS($A$5:A128),'VIP Signups'!$K$5:$K$204,0)),"")</x:f>
      </x:c>
      <x:c r="C128" s="19" t="str">
        <x:f>IFERROR(INDEX('VIP Signups'!F$5:F$204,MATCH(ROWS($A$5:A128),'VIP Signups'!$K$5:$K$204,0)),"")</x:f>
      </x:c>
      <x:c r="D128" s="19" t="str">
        <x:f>IFERROR(INDEX('VIP Signups'!G$5:G$204,MATCH(ROWS($A$5:A128),'VIP Signups'!$K$5:$K$204,0)),"")</x:f>
      </x:c>
      <x:c r="E128" s="19" t="str">
        <x:f>IFERROR(INDEX('VIP Signups'!C$5:C$204,MATCH(ROWS($A$5:A128),'VIP Signups'!$K$5:$K$204,0)),"")</x:f>
      </x:c>
      <x:c r="F128" s="19" t="str">
        <x:f>IFERROR(INDEX('VIP Signups'!E$5:E$204,MATCH(ROWS($A$5:A128),'VIP Signups'!$K$5:$K$204,0)),"")</x:f>
      </x:c>
      <x:c r="G128" s="19" t="str">
        <x:f>IFERROR(INDEX('VIP Signups'!H$5:H$204,MATCH(ROWS($A$5:A128),'VIP Signups'!$K$5:$K$204,0)),"")</x:f>
      </x:c>
    </x:row>
    <x:row r="129">
      <x:c r="A129" s="19" t="str">
        <x:f>IFERROR(INDEX('VIP Signups'!A$5:A$204,MATCH(ROWS($A$5:A129),'VIP Signups'!$K$5:$K$204,0)),"")</x:f>
      </x:c>
      <x:c r="B129" s="20" t="str">
        <x:f>IFERROR(INDEX('VIP Signups'!D$5:D$204,MATCH(ROWS($A$5:A129),'VIP Signups'!$K$5:$K$204,0)),"")</x:f>
      </x:c>
      <x:c r="C129" s="19" t="str">
        <x:f>IFERROR(INDEX('VIP Signups'!F$5:F$204,MATCH(ROWS($A$5:A129),'VIP Signups'!$K$5:$K$204,0)),"")</x:f>
      </x:c>
      <x:c r="D129" s="19" t="str">
        <x:f>IFERROR(INDEX('VIP Signups'!G$5:G$204,MATCH(ROWS($A$5:A129),'VIP Signups'!$K$5:$K$204,0)),"")</x:f>
      </x:c>
      <x:c r="E129" s="19" t="str">
        <x:f>IFERROR(INDEX('VIP Signups'!C$5:C$204,MATCH(ROWS($A$5:A129),'VIP Signups'!$K$5:$K$204,0)),"")</x:f>
      </x:c>
      <x:c r="F129" s="19" t="str">
        <x:f>IFERROR(INDEX('VIP Signups'!E$5:E$204,MATCH(ROWS($A$5:A129),'VIP Signups'!$K$5:$K$204,0)),"")</x:f>
      </x:c>
      <x:c r="G129" s="19" t="str">
        <x:f>IFERROR(INDEX('VIP Signups'!H$5:H$204,MATCH(ROWS($A$5:A129),'VIP Signups'!$K$5:$K$204,0)),"")</x:f>
      </x:c>
    </x:row>
    <x:row r="130">
      <x:c r="A130" s="19" t="str">
        <x:f>IFERROR(INDEX('VIP Signups'!A$5:A$204,MATCH(ROWS($A$5:A130),'VIP Signups'!$K$5:$K$204,0)),"")</x:f>
      </x:c>
      <x:c r="B130" s="20" t="str">
        <x:f>IFERROR(INDEX('VIP Signups'!D$5:D$204,MATCH(ROWS($A$5:A130),'VIP Signups'!$K$5:$K$204,0)),"")</x:f>
      </x:c>
      <x:c r="C130" s="19" t="str">
        <x:f>IFERROR(INDEX('VIP Signups'!F$5:F$204,MATCH(ROWS($A$5:A130),'VIP Signups'!$K$5:$K$204,0)),"")</x:f>
      </x:c>
      <x:c r="D130" s="19" t="str">
        <x:f>IFERROR(INDEX('VIP Signups'!G$5:G$204,MATCH(ROWS($A$5:A130),'VIP Signups'!$K$5:$K$204,0)),"")</x:f>
      </x:c>
      <x:c r="E130" s="19" t="str">
        <x:f>IFERROR(INDEX('VIP Signups'!C$5:C$204,MATCH(ROWS($A$5:A130),'VIP Signups'!$K$5:$K$204,0)),"")</x:f>
      </x:c>
      <x:c r="F130" s="19" t="str">
        <x:f>IFERROR(INDEX('VIP Signups'!E$5:E$204,MATCH(ROWS($A$5:A130),'VIP Signups'!$K$5:$K$204,0)),"")</x:f>
      </x:c>
      <x:c r="G130" s="19" t="str">
        <x:f>IFERROR(INDEX('VIP Signups'!H$5:H$204,MATCH(ROWS($A$5:A130),'VIP Signups'!$K$5:$K$204,0)),"")</x:f>
      </x:c>
    </x:row>
    <x:row r="131">
      <x:c r="A131" s="19" t="str">
        <x:f>IFERROR(INDEX('VIP Signups'!A$5:A$204,MATCH(ROWS($A$5:A131),'VIP Signups'!$K$5:$K$204,0)),"")</x:f>
      </x:c>
      <x:c r="B131" s="20" t="str">
        <x:f>IFERROR(INDEX('VIP Signups'!D$5:D$204,MATCH(ROWS($A$5:A131),'VIP Signups'!$K$5:$K$204,0)),"")</x:f>
      </x:c>
      <x:c r="C131" s="19" t="str">
        <x:f>IFERROR(INDEX('VIP Signups'!F$5:F$204,MATCH(ROWS($A$5:A131),'VIP Signups'!$K$5:$K$204,0)),"")</x:f>
      </x:c>
      <x:c r="D131" s="19" t="str">
        <x:f>IFERROR(INDEX('VIP Signups'!G$5:G$204,MATCH(ROWS($A$5:A131),'VIP Signups'!$K$5:$K$204,0)),"")</x:f>
      </x:c>
      <x:c r="E131" s="19" t="str">
        <x:f>IFERROR(INDEX('VIP Signups'!C$5:C$204,MATCH(ROWS($A$5:A131),'VIP Signups'!$K$5:$K$204,0)),"")</x:f>
      </x:c>
      <x:c r="F131" s="19" t="str">
        <x:f>IFERROR(INDEX('VIP Signups'!E$5:E$204,MATCH(ROWS($A$5:A131),'VIP Signups'!$K$5:$K$204,0)),"")</x:f>
      </x:c>
      <x:c r="G131" s="19" t="str">
        <x:f>IFERROR(INDEX('VIP Signups'!H$5:H$204,MATCH(ROWS($A$5:A131),'VIP Signups'!$K$5:$K$204,0)),"")</x:f>
      </x:c>
    </x:row>
    <x:row r="132">
      <x:c r="A132" s="19" t="str">
        <x:f>IFERROR(INDEX('VIP Signups'!A$5:A$204,MATCH(ROWS($A$5:A132),'VIP Signups'!$K$5:$K$204,0)),"")</x:f>
      </x:c>
      <x:c r="B132" s="20" t="str">
        <x:f>IFERROR(INDEX('VIP Signups'!D$5:D$204,MATCH(ROWS($A$5:A132),'VIP Signups'!$K$5:$K$204,0)),"")</x:f>
      </x:c>
      <x:c r="C132" s="19" t="str">
        <x:f>IFERROR(INDEX('VIP Signups'!F$5:F$204,MATCH(ROWS($A$5:A132),'VIP Signups'!$K$5:$K$204,0)),"")</x:f>
      </x:c>
      <x:c r="D132" s="19" t="str">
        <x:f>IFERROR(INDEX('VIP Signups'!G$5:G$204,MATCH(ROWS($A$5:A132),'VIP Signups'!$K$5:$K$204,0)),"")</x:f>
      </x:c>
      <x:c r="E132" s="19" t="str">
        <x:f>IFERROR(INDEX('VIP Signups'!C$5:C$204,MATCH(ROWS($A$5:A132),'VIP Signups'!$K$5:$K$204,0)),"")</x:f>
      </x:c>
      <x:c r="F132" s="19" t="str">
        <x:f>IFERROR(INDEX('VIP Signups'!E$5:E$204,MATCH(ROWS($A$5:A132),'VIP Signups'!$K$5:$K$204,0)),"")</x:f>
      </x:c>
      <x:c r="G132" s="19" t="str">
        <x:f>IFERROR(INDEX('VIP Signups'!H$5:H$204,MATCH(ROWS($A$5:A132),'VIP Signups'!$K$5:$K$204,0)),"")</x:f>
      </x:c>
    </x:row>
    <x:row r="133">
      <x:c r="A133" s="19" t="str">
        <x:f>IFERROR(INDEX('VIP Signups'!A$5:A$204,MATCH(ROWS($A$5:A133),'VIP Signups'!$K$5:$K$204,0)),"")</x:f>
      </x:c>
      <x:c r="B133" s="20" t="str">
        <x:f>IFERROR(INDEX('VIP Signups'!D$5:D$204,MATCH(ROWS($A$5:A133),'VIP Signups'!$K$5:$K$204,0)),"")</x:f>
      </x:c>
      <x:c r="C133" s="19" t="str">
        <x:f>IFERROR(INDEX('VIP Signups'!F$5:F$204,MATCH(ROWS($A$5:A133),'VIP Signups'!$K$5:$K$204,0)),"")</x:f>
      </x:c>
      <x:c r="D133" s="19" t="str">
        <x:f>IFERROR(INDEX('VIP Signups'!G$5:G$204,MATCH(ROWS($A$5:A133),'VIP Signups'!$K$5:$K$204,0)),"")</x:f>
      </x:c>
      <x:c r="E133" s="19" t="str">
        <x:f>IFERROR(INDEX('VIP Signups'!C$5:C$204,MATCH(ROWS($A$5:A133),'VIP Signups'!$K$5:$K$204,0)),"")</x:f>
      </x:c>
      <x:c r="F133" s="19" t="str">
        <x:f>IFERROR(INDEX('VIP Signups'!E$5:E$204,MATCH(ROWS($A$5:A133),'VIP Signups'!$K$5:$K$204,0)),"")</x:f>
      </x:c>
      <x:c r="G133" s="19" t="str">
        <x:f>IFERROR(INDEX('VIP Signups'!H$5:H$204,MATCH(ROWS($A$5:A133),'VIP Signups'!$K$5:$K$204,0)),"")</x:f>
      </x:c>
    </x:row>
    <x:row r="134">
      <x:c r="A134" s="19" t="str">
        <x:f>IFERROR(INDEX('VIP Signups'!A$5:A$204,MATCH(ROWS($A$5:A134),'VIP Signups'!$K$5:$K$204,0)),"")</x:f>
      </x:c>
      <x:c r="B134" s="20" t="str">
        <x:f>IFERROR(INDEX('VIP Signups'!D$5:D$204,MATCH(ROWS($A$5:A134),'VIP Signups'!$K$5:$K$204,0)),"")</x:f>
      </x:c>
      <x:c r="C134" s="19" t="str">
        <x:f>IFERROR(INDEX('VIP Signups'!F$5:F$204,MATCH(ROWS($A$5:A134),'VIP Signups'!$K$5:$K$204,0)),"")</x:f>
      </x:c>
      <x:c r="D134" s="19" t="str">
        <x:f>IFERROR(INDEX('VIP Signups'!G$5:G$204,MATCH(ROWS($A$5:A134),'VIP Signups'!$K$5:$K$204,0)),"")</x:f>
      </x:c>
      <x:c r="E134" s="19" t="str">
        <x:f>IFERROR(INDEX('VIP Signups'!C$5:C$204,MATCH(ROWS($A$5:A134),'VIP Signups'!$K$5:$K$204,0)),"")</x:f>
      </x:c>
      <x:c r="F134" s="19" t="str">
        <x:f>IFERROR(INDEX('VIP Signups'!E$5:E$204,MATCH(ROWS($A$5:A134),'VIP Signups'!$K$5:$K$204,0)),"")</x:f>
      </x:c>
      <x:c r="G134" s="19" t="str">
        <x:f>IFERROR(INDEX('VIP Signups'!H$5:H$204,MATCH(ROWS($A$5:A134),'VIP Signups'!$K$5:$K$204,0)),"")</x:f>
      </x:c>
    </x:row>
    <x:row r="135">
      <x:c r="A135" s="19" t="str">
        <x:f>IFERROR(INDEX('VIP Signups'!A$5:A$204,MATCH(ROWS($A$5:A135),'VIP Signups'!$K$5:$K$204,0)),"")</x:f>
      </x:c>
      <x:c r="B135" s="20" t="str">
        <x:f>IFERROR(INDEX('VIP Signups'!D$5:D$204,MATCH(ROWS($A$5:A135),'VIP Signups'!$K$5:$K$204,0)),"")</x:f>
      </x:c>
      <x:c r="C135" s="19" t="str">
        <x:f>IFERROR(INDEX('VIP Signups'!F$5:F$204,MATCH(ROWS($A$5:A135),'VIP Signups'!$K$5:$K$204,0)),"")</x:f>
      </x:c>
      <x:c r="D135" s="19" t="str">
        <x:f>IFERROR(INDEX('VIP Signups'!G$5:G$204,MATCH(ROWS($A$5:A135),'VIP Signups'!$K$5:$K$204,0)),"")</x:f>
      </x:c>
      <x:c r="E135" s="19" t="str">
        <x:f>IFERROR(INDEX('VIP Signups'!C$5:C$204,MATCH(ROWS($A$5:A135),'VIP Signups'!$K$5:$K$204,0)),"")</x:f>
      </x:c>
      <x:c r="F135" s="19" t="str">
        <x:f>IFERROR(INDEX('VIP Signups'!E$5:E$204,MATCH(ROWS($A$5:A135),'VIP Signups'!$K$5:$K$204,0)),"")</x:f>
      </x:c>
      <x:c r="G135" s="19" t="str">
        <x:f>IFERROR(INDEX('VIP Signups'!H$5:H$204,MATCH(ROWS($A$5:A135),'VIP Signups'!$K$5:$K$204,0)),"")</x:f>
      </x:c>
    </x:row>
    <x:row r="136">
      <x:c r="A136" s="19" t="str">
        <x:f>IFERROR(INDEX('VIP Signups'!A$5:A$204,MATCH(ROWS($A$5:A136),'VIP Signups'!$K$5:$K$204,0)),"")</x:f>
      </x:c>
      <x:c r="B136" s="20" t="str">
        <x:f>IFERROR(INDEX('VIP Signups'!D$5:D$204,MATCH(ROWS($A$5:A136),'VIP Signups'!$K$5:$K$204,0)),"")</x:f>
      </x:c>
      <x:c r="C136" s="19" t="str">
        <x:f>IFERROR(INDEX('VIP Signups'!F$5:F$204,MATCH(ROWS($A$5:A136),'VIP Signups'!$K$5:$K$204,0)),"")</x:f>
      </x:c>
      <x:c r="D136" s="19" t="str">
        <x:f>IFERROR(INDEX('VIP Signups'!G$5:G$204,MATCH(ROWS($A$5:A136),'VIP Signups'!$K$5:$K$204,0)),"")</x:f>
      </x:c>
      <x:c r="E136" s="19" t="str">
        <x:f>IFERROR(INDEX('VIP Signups'!C$5:C$204,MATCH(ROWS($A$5:A136),'VIP Signups'!$K$5:$K$204,0)),"")</x:f>
      </x:c>
      <x:c r="F136" s="19" t="str">
        <x:f>IFERROR(INDEX('VIP Signups'!E$5:E$204,MATCH(ROWS($A$5:A136),'VIP Signups'!$K$5:$K$204,0)),"")</x:f>
      </x:c>
      <x:c r="G136" s="19" t="str">
        <x:f>IFERROR(INDEX('VIP Signups'!H$5:H$204,MATCH(ROWS($A$5:A136),'VIP Signups'!$K$5:$K$204,0)),"")</x:f>
      </x:c>
    </x:row>
    <x:row r="137">
      <x:c r="A137" s="19" t="str">
        <x:f>IFERROR(INDEX('VIP Signups'!A$5:A$204,MATCH(ROWS($A$5:A137),'VIP Signups'!$K$5:$K$204,0)),"")</x:f>
      </x:c>
      <x:c r="B137" s="20" t="str">
        <x:f>IFERROR(INDEX('VIP Signups'!D$5:D$204,MATCH(ROWS($A$5:A137),'VIP Signups'!$K$5:$K$204,0)),"")</x:f>
      </x:c>
      <x:c r="C137" s="19" t="str">
        <x:f>IFERROR(INDEX('VIP Signups'!F$5:F$204,MATCH(ROWS($A$5:A137),'VIP Signups'!$K$5:$K$204,0)),"")</x:f>
      </x:c>
      <x:c r="D137" s="19" t="str">
        <x:f>IFERROR(INDEX('VIP Signups'!G$5:G$204,MATCH(ROWS($A$5:A137),'VIP Signups'!$K$5:$K$204,0)),"")</x:f>
      </x:c>
      <x:c r="E137" s="19" t="str">
        <x:f>IFERROR(INDEX('VIP Signups'!C$5:C$204,MATCH(ROWS($A$5:A137),'VIP Signups'!$K$5:$K$204,0)),"")</x:f>
      </x:c>
      <x:c r="F137" s="19" t="str">
        <x:f>IFERROR(INDEX('VIP Signups'!E$5:E$204,MATCH(ROWS($A$5:A137),'VIP Signups'!$K$5:$K$204,0)),"")</x:f>
      </x:c>
      <x:c r="G137" s="19" t="str">
        <x:f>IFERROR(INDEX('VIP Signups'!H$5:H$204,MATCH(ROWS($A$5:A137),'VIP Signups'!$K$5:$K$204,0)),"")</x:f>
      </x:c>
    </x:row>
    <x:row r="138">
      <x:c r="A138" s="19" t="str">
        <x:f>IFERROR(INDEX('VIP Signups'!A$5:A$204,MATCH(ROWS($A$5:A138),'VIP Signups'!$K$5:$K$204,0)),"")</x:f>
      </x:c>
      <x:c r="B138" s="20" t="str">
        <x:f>IFERROR(INDEX('VIP Signups'!D$5:D$204,MATCH(ROWS($A$5:A138),'VIP Signups'!$K$5:$K$204,0)),"")</x:f>
      </x:c>
      <x:c r="C138" s="19" t="str">
        <x:f>IFERROR(INDEX('VIP Signups'!F$5:F$204,MATCH(ROWS($A$5:A138),'VIP Signups'!$K$5:$K$204,0)),"")</x:f>
      </x:c>
      <x:c r="D138" s="19" t="str">
        <x:f>IFERROR(INDEX('VIP Signups'!G$5:G$204,MATCH(ROWS($A$5:A138),'VIP Signups'!$K$5:$K$204,0)),"")</x:f>
      </x:c>
      <x:c r="E138" s="19" t="str">
        <x:f>IFERROR(INDEX('VIP Signups'!C$5:C$204,MATCH(ROWS($A$5:A138),'VIP Signups'!$K$5:$K$204,0)),"")</x:f>
      </x:c>
      <x:c r="F138" s="19" t="str">
        <x:f>IFERROR(INDEX('VIP Signups'!E$5:E$204,MATCH(ROWS($A$5:A138),'VIP Signups'!$K$5:$K$204,0)),"")</x:f>
      </x:c>
      <x:c r="G138" s="19" t="str">
        <x:f>IFERROR(INDEX('VIP Signups'!H$5:H$204,MATCH(ROWS($A$5:A138),'VIP Signups'!$K$5:$K$204,0)),"")</x:f>
      </x:c>
    </x:row>
    <x:row r="139">
      <x:c r="A139" s="19" t="str">
        <x:f>IFERROR(INDEX('VIP Signups'!A$5:A$204,MATCH(ROWS($A$5:A139),'VIP Signups'!$K$5:$K$204,0)),"")</x:f>
      </x:c>
      <x:c r="B139" s="20" t="str">
        <x:f>IFERROR(INDEX('VIP Signups'!D$5:D$204,MATCH(ROWS($A$5:A139),'VIP Signups'!$K$5:$K$204,0)),"")</x:f>
      </x:c>
      <x:c r="C139" s="19" t="str">
        <x:f>IFERROR(INDEX('VIP Signups'!F$5:F$204,MATCH(ROWS($A$5:A139),'VIP Signups'!$K$5:$K$204,0)),"")</x:f>
      </x:c>
      <x:c r="D139" s="19" t="str">
        <x:f>IFERROR(INDEX('VIP Signups'!G$5:G$204,MATCH(ROWS($A$5:A139),'VIP Signups'!$K$5:$K$204,0)),"")</x:f>
      </x:c>
      <x:c r="E139" s="19" t="str">
        <x:f>IFERROR(INDEX('VIP Signups'!C$5:C$204,MATCH(ROWS($A$5:A139),'VIP Signups'!$K$5:$K$204,0)),"")</x:f>
      </x:c>
      <x:c r="F139" s="19" t="str">
        <x:f>IFERROR(INDEX('VIP Signups'!E$5:E$204,MATCH(ROWS($A$5:A139),'VIP Signups'!$K$5:$K$204,0)),"")</x:f>
      </x:c>
      <x:c r="G139" s="19" t="str">
        <x:f>IFERROR(INDEX('VIP Signups'!H$5:H$204,MATCH(ROWS($A$5:A139),'VIP Signups'!$K$5:$K$204,0)),"")</x:f>
      </x:c>
    </x:row>
    <x:row r="140">
      <x:c r="A140" s="19" t="str">
        <x:f>IFERROR(INDEX('VIP Signups'!A$5:A$204,MATCH(ROWS($A$5:A140),'VIP Signups'!$K$5:$K$204,0)),"")</x:f>
      </x:c>
      <x:c r="B140" s="20" t="str">
        <x:f>IFERROR(INDEX('VIP Signups'!D$5:D$204,MATCH(ROWS($A$5:A140),'VIP Signups'!$K$5:$K$204,0)),"")</x:f>
      </x:c>
      <x:c r="C140" s="19" t="str">
        <x:f>IFERROR(INDEX('VIP Signups'!F$5:F$204,MATCH(ROWS($A$5:A140),'VIP Signups'!$K$5:$K$204,0)),"")</x:f>
      </x:c>
      <x:c r="D140" s="19" t="str">
        <x:f>IFERROR(INDEX('VIP Signups'!G$5:G$204,MATCH(ROWS($A$5:A140),'VIP Signups'!$K$5:$K$204,0)),"")</x:f>
      </x:c>
      <x:c r="E140" s="19" t="str">
        <x:f>IFERROR(INDEX('VIP Signups'!C$5:C$204,MATCH(ROWS($A$5:A140),'VIP Signups'!$K$5:$K$204,0)),"")</x:f>
      </x:c>
      <x:c r="F140" s="19" t="str">
        <x:f>IFERROR(INDEX('VIP Signups'!E$5:E$204,MATCH(ROWS($A$5:A140),'VIP Signups'!$K$5:$K$204,0)),"")</x:f>
      </x:c>
      <x:c r="G140" s="19" t="str">
        <x:f>IFERROR(INDEX('VIP Signups'!H$5:H$204,MATCH(ROWS($A$5:A140),'VIP Signups'!$K$5:$K$204,0)),"")</x:f>
      </x:c>
    </x:row>
    <x:row r="141">
      <x:c r="A141" s="19" t="str">
        <x:f>IFERROR(INDEX('VIP Signups'!A$5:A$204,MATCH(ROWS($A$5:A141),'VIP Signups'!$K$5:$K$204,0)),"")</x:f>
      </x:c>
      <x:c r="B141" s="20" t="str">
        <x:f>IFERROR(INDEX('VIP Signups'!D$5:D$204,MATCH(ROWS($A$5:A141),'VIP Signups'!$K$5:$K$204,0)),"")</x:f>
      </x:c>
      <x:c r="C141" s="19" t="str">
        <x:f>IFERROR(INDEX('VIP Signups'!F$5:F$204,MATCH(ROWS($A$5:A141),'VIP Signups'!$K$5:$K$204,0)),"")</x:f>
      </x:c>
      <x:c r="D141" s="19" t="str">
        <x:f>IFERROR(INDEX('VIP Signups'!G$5:G$204,MATCH(ROWS($A$5:A141),'VIP Signups'!$K$5:$K$204,0)),"")</x:f>
      </x:c>
      <x:c r="E141" s="19" t="str">
        <x:f>IFERROR(INDEX('VIP Signups'!C$5:C$204,MATCH(ROWS($A$5:A141),'VIP Signups'!$K$5:$K$204,0)),"")</x:f>
      </x:c>
      <x:c r="F141" s="19" t="str">
        <x:f>IFERROR(INDEX('VIP Signups'!E$5:E$204,MATCH(ROWS($A$5:A141),'VIP Signups'!$K$5:$K$204,0)),"")</x:f>
      </x:c>
      <x:c r="G141" s="19" t="str">
        <x:f>IFERROR(INDEX('VIP Signups'!H$5:H$204,MATCH(ROWS($A$5:A141),'VIP Signups'!$K$5:$K$204,0)),"")</x:f>
      </x:c>
    </x:row>
    <x:row r="142">
      <x:c r="A142" s="19" t="str">
        <x:f>IFERROR(INDEX('VIP Signups'!A$5:A$204,MATCH(ROWS($A$5:A142),'VIP Signups'!$K$5:$K$204,0)),"")</x:f>
      </x:c>
      <x:c r="B142" s="20" t="str">
        <x:f>IFERROR(INDEX('VIP Signups'!D$5:D$204,MATCH(ROWS($A$5:A142),'VIP Signups'!$K$5:$K$204,0)),"")</x:f>
      </x:c>
      <x:c r="C142" s="19" t="str">
        <x:f>IFERROR(INDEX('VIP Signups'!F$5:F$204,MATCH(ROWS($A$5:A142),'VIP Signups'!$K$5:$K$204,0)),"")</x:f>
      </x:c>
      <x:c r="D142" s="19" t="str">
        <x:f>IFERROR(INDEX('VIP Signups'!G$5:G$204,MATCH(ROWS($A$5:A142),'VIP Signups'!$K$5:$K$204,0)),"")</x:f>
      </x:c>
      <x:c r="E142" s="19" t="str">
        <x:f>IFERROR(INDEX('VIP Signups'!C$5:C$204,MATCH(ROWS($A$5:A142),'VIP Signups'!$K$5:$K$204,0)),"")</x:f>
      </x:c>
      <x:c r="F142" s="19" t="str">
        <x:f>IFERROR(INDEX('VIP Signups'!E$5:E$204,MATCH(ROWS($A$5:A142),'VIP Signups'!$K$5:$K$204,0)),"")</x:f>
      </x:c>
      <x:c r="G142" s="19" t="str">
        <x:f>IFERROR(INDEX('VIP Signups'!H$5:H$204,MATCH(ROWS($A$5:A142),'VIP Signups'!$K$5:$K$204,0)),"")</x:f>
      </x:c>
    </x:row>
    <x:row r="143">
      <x:c r="A143" s="19" t="str">
        <x:f>IFERROR(INDEX('VIP Signups'!A$5:A$204,MATCH(ROWS($A$5:A143),'VIP Signups'!$K$5:$K$204,0)),"")</x:f>
      </x:c>
      <x:c r="B143" s="20" t="str">
        <x:f>IFERROR(INDEX('VIP Signups'!D$5:D$204,MATCH(ROWS($A$5:A143),'VIP Signups'!$K$5:$K$204,0)),"")</x:f>
      </x:c>
      <x:c r="C143" s="19" t="str">
        <x:f>IFERROR(INDEX('VIP Signups'!F$5:F$204,MATCH(ROWS($A$5:A143),'VIP Signups'!$K$5:$K$204,0)),"")</x:f>
      </x:c>
      <x:c r="D143" s="19" t="str">
        <x:f>IFERROR(INDEX('VIP Signups'!G$5:G$204,MATCH(ROWS($A$5:A143),'VIP Signups'!$K$5:$K$204,0)),"")</x:f>
      </x:c>
      <x:c r="E143" s="19" t="str">
        <x:f>IFERROR(INDEX('VIP Signups'!C$5:C$204,MATCH(ROWS($A$5:A143),'VIP Signups'!$K$5:$K$204,0)),"")</x:f>
      </x:c>
      <x:c r="F143" s="19" t="str">
        <x:f>IFERROR(INDEX('VIP Signups'!E$5:E$204,MATCH(ROWS($A$5:A143),'VIP Signups'!$K$5:$K$204,0)),"")</x:f>
      </x:c>
      <x:c r="G143" s="19" t="str">
        <x:f>IFERROR(INDEX('VIP Signups'!H$5:H$204,MATCH(ROWS($A$5:A143),'VIP Signups'!$K$5:$K$204,0)),"")</x:f>
      </x:c>
    </x:row>
    <x:row r="144">
      <x:c r="A144" s="19" t="str">
        <x:f>IFERROR(INDEX('VIP Signups'!A$5:A$204,MATCH(ROWS($A$5:A144),'VIP Signups'!$K$5:$K$204,0)),"")</x:f>
      </x:c>
      <x:c r="B144" s="20" t="str">
        <x:f>IFERROR(INDEX('VIP Signups'!D$5:D$204,MATCH(ROWS($A$5:A144),'VIP Signups'!$K$5:$K$204,0)),"")</x:f>
      </x:c>
      <x:c r="C144" s="19" t="str">
        <x:f>IFERROR(INDEX('VIP Signups'!F$5:F$204,MATCH(ROWS($A$5:A144),'VIP Signups'!$K$5:$K$204,0)),"")</x:f>
      </x:c>
      <x:c r="D144" s="19" t="str">
        <x:f>IFERROR(INDEX('VIP Signups'!G$5:G$204,MATCH(ROWS($A$5:A144),'VIP Signups'!$K$5:$K$204,0)),"")</x:f>
      </x:c>
      <x:c r="E144" s="19" t="str">
        <x:f>IFERROR(INDEX('VIP Signups'!C$5:C$204,MATCH(ROWS($A$5:A144),'VIP Signups'!$K$5:$K$204,0)),"")</x:f>
      </x:c>
      <x:c r="F144" s="19" t="str">
        <x:f>IFERROR(INDEX('VIP Signups'!E$5:E$204,MATCH(ROWS($A$5:A144),'VIP Signups'!$K$5:$K$204,0)),"")</x:f>
      </x:c>
      <x:c r="G144" s="19" t="str">
        <x:f>IFERROR(INDEX('VIP Signups'!H$5:H$204,MATCH(ROWS($A$5:A144),'VIP Signups'!$K$5:$K$204,0)),"")</x:f>
      </x:c>
    </x:row>
    <x:row r="145">
      <x:c r="A145" s="19" t="str">
        <x:f>IFERROR(INDEX('VIP Signups'!A$5:A$204,MATCH(ROWS($A$5:A145),'VIP Signups'!$K$5:$K$204,0)),"")</x:f>
      </x:c>
      <x:c r="B145" s="20" t="str">
        <x:f>IFERROR(INDEX('VIP Signups'!D$5:D$204,MATCH(ROWS($A$5:A145),'VIP Signups'!$K$5:$K$204,0)),"")</x:f>
      </x:c>
      <x:c r="C145" s="19" t="str">
        <x:f>IFERROR(INDEX('VIP Signups'!F$5:F$204,MATCH(ROWS($A$5:A145),'VIP Signups'!$K$5:$K$204,0)),"")</x:f>
      </x:c>
      <x:c r="D145" s="19" t="str">
        <x:f>IFERROR(INDEX('VIP Signups'!G$5:G$204,MATCH(ROWS($A$5:A145),'VIP Signups'!$K$5:$K$204,0)),"")</x:f>
      </x:c>
      <x:c r="E145" s="19" t="str">
        <x:f>IFERROR(INDEX('VIP Signups'!C$5:C$204,MATCH(ROWS($A$5:A145),'VIP Signups'!$K$5:$K$204,0)),"")</x:f>
      </x:c>
      <x:c r="F145" s="19" t="str">
        <x:f>IFERROR(INDEX('VIP Signups'!E$5:E$204,MATCH(ROWS($A$5:A145),'VIP Signups'!$K$5:$K$204,0)),"")</x:f>
      </x:c>
      <x:c r="G145" s="19" t="str">
        <x:f>IFERROR(INDEX('VIP Signups'!H$5:H$204,MATCH(ROWS($A$5:A145),'VIP Signups'!$K$5:$K$204,0)),"")</x:f>
      </x:c>
    </x:row>
    <x:row r="146">
      <x:c r="A146" s="19" t="str">
        <x:f>IFERROR(INDEX('VIP Signups'!A$5:A$204,MATCH(ROWS($A$5:A146),'VIP Signups'!$K$5:$K$204,0)),"")</x:f>
      </x:c>
      <x:c r="B146" s="20" t="str">
        <x:f>IFERROR(INDEX('VIP Signups'!D$5:D$204,MATCH(ROWS($A$5:A146),'VIP Signups'!$K$5:$K$204,0)),"")</x:f>
      </x:c>
      <x:c r="C146" s="19" t="str">
        <x:f>IFERROR(INDEX('VIP Signups'!F$5:F$204,MATCH(ROWS($A$5:A146),'VIP Signups'!$K$5:$K$204,0)),"")</x:f>
      </x:c>
      <x:c r="D146" s="19" t="str">
        <x:f>IFERROR(INDEX('VIP Signups'!G$5:G$204,MATCH(ROWS($A$5:A146),'VIP Signups'!$K$5:$K$204,0)),"")</x:f>
      </x:c>
      <x:c r="E146" s="19" t="str">
        <x:f>IFERROR(INDEX('VIP Signups'!C$5:C$204,MATCH(ROWS($A$5:A146),'VIP Signups'!$K$5:$K$204,0)),"")</x:f>
      </x:c>
      <x:c r="F146" s="19" t="str">
        <x:f>IFERROR(INDEX('VIP Signups'!E$5:E$204,MATCH(ROWS($A$5:A146),'VIP Signups'!$K$5:$K$204,0)),"")</x:f>
      </x:c>
      <x:c r="G146" s="19" t="str">
        <x:f>IFERROR(INDEX('VIP Signups'!H$5:H$204,MATCH(ROWS($A$5:A146),'VIP Signups'!$K$5:$K$204,0)),"")</x:f>
      </x:c>
    </x:row>
    <x:row r="147">
      <x:c r="A147" s="19" t="str">
        <x:f>IFERROR(INDEX('VIP Signups'!A$5:A$204,MATCH(ROWS($A$5:A147),'VIP Signups'!$K$5:$K$204,0)),"")</x:f>
      </x:c>
      <x:c r="B147" s="20" t="str">
        <x:f>IFERROR(INDEX('VIP Signups'!D$5:D$204,MATCH(ROWS($A$5:A147),'VIP Signups'!$K$5:$K$204,0)),"")</x:f>
      </x:c>
      <x:c r="C147" s="19" t="str">
        <x:f>IFERROR(INDEX('VIP Signups'!F$5:F$204,MATCH(ROWS($A$5:A147),'VIP Signups'!$K$5:$K$204,0)),"")</x:f>
      </x:c>
      <x:c r="D147" s="19" t="str">
        <x:f>IFERROR(INDEX('VIP Signups'!G$5:G$204,MATCH(ROWS($A$5:A147),'VIP Signups'!$K$5:$K$204,0)),"")</x:f>
      </x:c>
      <x:c r="E147" s="19" t="str">
        <x:f>IFERROR(INDEX('VIP Signups'!C$5:C$204,MATCH(ROWS($A$5:A147),'VIP Signups'!$K$5:$K$204,0)),"")</x:f>
      </x:c>
      <x:c r="F147" s="19" t="str">
        <x:f>IFERROR(INDEX('VIP Signups'!E$5:E$204,MATCH(ROWS($A$5:A147),'VIP Signups'!$K$5:$K$204,0)),"")</x:f>
      </x:c>
      <x:c r="G147" s="19" t="str">
        <x:f>IFERROR(INDEX('VIP Signups'!H$5:H$204,MATCH(ROWS($A$5:A147),'VIP Signups'!$K$5:$K$204,0)),"")</x:f>
      </x:c>
    </x:row>
    <x:row r="148">
      <x:c r="A148" s="19" t="str">
        <x:f>IFERROR(INDEX('VIP Signups'!A$5:A$204,MATCH(ROWS($A$5:A148),'VIP Signups'!$K$5:$K$204,0)),"")</x:f>
      </x:c>
      <x:c r="B148" s="20" t="str">
        <x:f>IFERROR(INDEX('VIP Signups'!D$5:D$204,MATCH(ROWS($A$5:A148),'VIP Signups'!$K$5:$K$204,0)),"")</x:f>
      </x:c>
      <x:c r="C148" s="19" t="str">
        <x:f>IFERROR(INDEX('VIP Signups'!F$5:F$204,MATCH(ROWS($A$5:A148),'VIP Signups'!$K$5:$K$204,0)),"")</x:f>
      </x:c>
      <x:c r="D148" s="19" t="str">
        <x:f>IFERROR(INDEX('VIP Signups'!G$5:G$204,MATCH(ROWS($A$5:A148),'VIP Signups'!$K$5:$K$204,0)),"")</x:f>
      </x:c>
      <x:c r="E148" s="19" t="str">
        <x:f>IFERROR(INDEX('VIP Signups'!C$5:C$204,MATCH(ROWS($A$5:A148),'VIP Signups'!$K$5:$K$204,0)),"")</x:f>
      </x:c>
      <x:c r="F148" s="19" t="str">
        <x:f>IFERROR(INDEX('VIP Signups'!E$5:E$204,MATCH(ROWS($A$5:A148),'VIP Signups'!$K$5:$K$204,0)),"")</x:f>
      </x:c>
      <x:c r="G148" s="19" t="str">
        <x:f>IFERROR(INDEX('VIP Signups'!H$5:H$204,MATCH(ROWS($A$5:A148),'VIP Signups'!$K$5:$K$204,0)),"")</x:f>
      </x:c>
    </x:row>
    <x:row r="149">
      <x:c r="A149" s="19" t="str">
        <x:f>IFERROR(INDEX('VIP Signups'!A$5:A$204,MATCH(ROWS($A$5:A149),'VIP Signups'!$K$5:$K$204,0)),"")</x:f>
      </x:c>
      <x:c r="B149" s="20" t="str">
        <x:f>IFERROR(INDEX('VIP Signups'!D$5:D$204,MATCH(ROWS($A$5:A149),'VIP Signups'!$K$5:$K$204,0)),"")</x:f>
      </x:c>
      <x:c r="C149" s="19" t="str">
        <x:f>IFERROR(INDEX('VIP Signups'!F$5:F$204,MATCH(ROWS($A$5:A149),'VIP Signups'!$K$5:$K$204,0)),"")</x:f>
      </x:c>
      <x:c r="D149" s="19" t="str">
        <x:f>IFERROR(INDEX('VIP Signups'!G$5:G$204,MATCH(ROWS($A$5:A149),'VIP Signups'!$K$5:$K$204,0)),"")</x:f>
      </x:c>
      <x:c r="E149" s="19" t="str">
        <x:f>IFERROR(INDEX('VIP Signups'!C$5:C$204,MATCH(ROWS($A$5:A149),'VIP Signups'!$K$5:$K$204,0)),"")</x:f>
      </x:c>
      <x:c r="F149" s="19" t="str">
        <x:f>IFERROR(INDEX('VIP Signups'!E$5:E$204,MATCH(ROWS($A$5:A149),'VIP Signups'!$K$5:$K$204,0)),"")</x:f>
      </x:c>
      <x:c r="G149" s="19" t="str">
        <x:f>IFERROR(INDEX('VIP Signups'!H$5:H$204,MATCH(ROWS($A$5:A149),'VIP Signups'!$K$5:$K$204,0)),"")</x:f>
      </x:c>
    </x:row>
    <x:row r="150">
      <x:c r="A150" s="19" t="str">
        <x:f>IFERROR(INDEX('VIP Signups'!A$5:A$204,MATCH(ROWS($A$5:A150),'VIP Signups'!$K$5:$K$204,0)),"")</x:f>
      </x:c>
      <x:c r="B150" s="20" t="str">
        <x:f>IFERROR(INDEX('VIP Signups'!D$5:D$204,MATCH(ROWS($A$5:A150),'VIP Signups'!$K$5:$K$204,0)),"")</x:f>
      </x:c>
      <x:c r="C150" s="19" t="str">
        <x:f>IFERROR(INDEX('VIP Signups'!F$5:F$204,MATCH(ROWS($A$5:A150),'VIP Signups'!$K$5:$K$204,0)),"")</x:f>
      </x:c>
      <x:c r="D150" s="19" t="str">
        <x:f>IFERROR(INDEX('VIP Signups'!G$5:G$204,MATCH(ROWS($A$5:A150),'VIP Signups'!$K$5:$K$204,0)),"")</x:f>
      </x:c>
      <x:c r="E150" s="19" t="str">
        <x:f>IFERROR(INDEX('VIP Signups'!C$5:C$204,MATCH(ROWS($A$5:A150),'VIP Signups'!$K$5:$K$204,0)),"")</x:f>
      </x:c>
      <x:c r="F150" s="19" t="str">
        <x:f>IFERROR(INDEX('VIP Signups'!E$5:E$204,MATCH(ROWS($A$5:A150),'VIP Signups'!$K$5:$K$204,0)),"")</x:f>
      </x:c>
      <x:c r="G150" s="19" t="str">
        <x:f>IFERROR(INDEX('VIP Signups'!H$5:H$204,MATCH(ROWS($A$5:A150),'VIP Signups'!$K$5:$K$204,0)),"")</x:f>
      </x:c>
    </x:row>
    <x:row r="151">
      <x:c r="A151" s="19" t="str">
        <x:f>IFERROR(INDEX('VIP Signups'!A$5:A$204,MATCH(ROWS($A$5:A151),'VIP Signups'!$K$5:$K$204,0)),"")</x:f>
      </x:c>
      <x:c r="B151" s="20" t="str">
        <x:f>IFERROR(INDEX('VIP Signups'!D$5:D$204,MATCH(ROWS($A$5:A151),'VIP Signups'!$K$5:$K$204,0)),"")</x:f>
      </x:c>
      <x:c r="C151" s="19" t="str">
        <x:f>IFERROR(INDEX('VIP Signups'!F$5:F$204,MATCH(ROWS($A$5:A151),'VIP Signups'!$K$5:$K$204,0)),"")</x:f>
      </x:c>
      <x:c r="D151" s="19" t="str">
        <x:f>IFERROR(INDEX('VIP Signups'!G$5:G$204,MATCH(ROWS($A$5:A151),'VIP Signups'!$K$5:$K$204,0)),"")</x:f>
      </x:c>
      <x:c r="E151" s="19" t="str">
        <x:f>IFERROR(INDEX('VIP Signups'!C$5:C$204,MATCH(ROWS($A$5:A151),'VIP Signups'!$K$5:$K$204,0)),"")</x:f>
      </x:c>
      <x:c r="F151" s="19" t="str">
        <x:f>IFERROR(INDEX('VIP Signups'!E$5:E$204,MATCH(ROWS($A$5:A151),'VIP Signups'!$K$5:$K$204,0)),"")</x:f>
      </x:c>
      <x:c r="G151" s="19" t="str">
        <x:f>IFERROR(INDEX('VIP Signups'!H$5:H$204,MATCH(ROWS($A$5:A151),'VIP Signups'!$K$5:$K$204,0)),"")</x:f>
      </x:c>
    </x:row>
    <x:row r="152">
      <x:c r="A152" s="19" t="str">
        <x:f>IFERROR(INDEX('VIP Signups'!A$5:A$204,MATCH(ROWS($A$5:A152),'VIP Signups'!$K$5:$K$204,0)),"")</x:f>
      </x:c>
      <x:c r="B152" s="20" t="str">
        <x:f>IFERROR(INDEX('VIP Signups'!D$5:D$204,MATCH(ROWS($A$5:A152),'VIP Signups'!$K$5:$K$204,0)),"")</x:f>
      </x:c>
      <x:c r="C152" s="19" t="str">
        <x:f>IFERROR(INDEX('VIP Signups'!F$5:F$204,MATCH(ROWS($A$5:A152),'VIP Signups'!$K$5:$K$204,0)),"")</x:f>
      </x:c>
      <x:c r="D152" s="19" t="str">
        <x:f>IFERROR(INDEX('VIP Signups'!G$5:G$204,MATCH(ROWS($A$5:A152),'VIP Signups'!$K$5:$K$204,0)),"")</x:f>
      </x:c>
      <x:c r="E152" s="19" t="str">
        <x:f>IFERROR(INDEX('VIP Signups'!C$5:C$204,MATCH(ROWS($A$5:A152),'VIP Signups'!$K$5:$K$204,0)),"")</x:f>
      </x:c>
      <x:c r="F152" s="19" t="str">
        <x:f>IFERROR(INDEX('VIP Signups'!E$5:E$204,MATCH(ROWS($A$5:A152),'VIP Signups'!$K$5:$K$204,0)),"")</x:f>
      </x:c>
      <x:c r="G152" s="19" t="str">
        <x:f>IFERROR(INDEX('VIP Signups'!H$5:H$204,MATCH(ROWS($A$5:A152),'VIP Signups'!$K$5:$K$204,0)),"")</x:f>
      </x:c>
    </x:row>
    <x:row r="153">
      <x:c r="A153" s="19" t="str">
        <x:f>IFERROR(INDEX('VIP Signups'!A$5:A$204,MATCH(ROWS($A$5:A153),'VIP Signups'!$K$5:$K$204,0)),"")</x:f>
      </x:c>
      <x:c r="B153" s="20" t="str">
        <x:f>IFERROR(INDEX('VIP Signups'!D$5:D$204,MATCH(ROWS($A$5:A153),'VIP Signups'!$K$5:$K$204,0)),"")</x:f>
      </x:c>
      <x:c r="C153" s="19" t="str">
        <x:f>IFERROR(INDEX('VIP Signups'!F$5:F$204,MATCH(ROWS($A$5:A153),'VIP Signups'!$K$5:$K$204,0)),"")</x:f>
      </x:c>
      <x:c r="D153" s="19" t="str">
        <x:f>IFERROR(INDEX('VIP Signups'!G$5:G$204,MATCH(ROWS($A$5:A153),'VIP Signups'!$K$5:$K$204,0)),"")</x:f>
      </x:c>
      <x:c r="E153" s="19" t="str">
        <x:f>IFERROR(INDEX('VIP Signups'!C$5:C$204,MATCH(ROWS($A$5:A153),'VIP Signups'!$K$5:$K$204,0)),"")</x:f>
      </x:c>
      <x:c r="F153" s="19" t="str">
        <x:f>IFERROR(INDEX('VIP Signups'!E$5:E$204,MATCH(ROWS($A$5:A153),'VIP Signups'!$K$5:$K$204,0)),"")</x:f>
      </x:c>
      <x:c r="G153" s="19" t="str">
        <x:f>IFERROR(INDEX('VIP Signups'!H$5:H$204,MATCH(ROWS($A$5:A153),'VIP Signups'!$K$5:$K$204,0)),"")</x:f>
      </x:c>
    </x:row>
    <x:row r="154">
      <x:c r="A154" s="19" t="str">
        <x:f>IFERROR(INDEX('VIP Signups'!A$5:A$204,MATCH(ROWS($A$5:A154),'VIP Signups'!$K$5:$K$204,0)),"")</x:f>
      </x:c>
      <x:c r="B154" s="20" t="str">
        <x:f>IFERROR(INDEX('VIP Signups'!D$5:D$204,MATCH(ROWS($A$5:A154),'VIP Signups'!$K$5:$K$204,0)),"")</x:f>
      </x:c>
      <x:c r="C154" s="19" t="str">
        <x:f>IFERROR(INDEX('VIP Signups'!F$5:F$204,MATCH(ROWS($A$5:A154),'VIP Signups'!$K$5:$K$204,0)),"")</x:f>
      </x:c>
      <x:c r="D154" s="19" t="str">
        <x:f>IFERROR(INDEX('VIP Signups'!G$5:G$204,MATCH(ROWS($A$5:A154),'VIP Signups'!$K$5:$K$204,0)),"")</x:f>
      </x:c>
      <x:c r="E154" s="19" t="str">
        <x:f>IFERROR(INDEX('VIP Signups'!C$5:C$204,MATCH(ROWS($A$5:A154),'VIP Signups'!$K$5:$K$204,0)),"")</x:f>
      </x:c>
      <x:c r="F154" s="19" t="str">
        <x:f>IFERROR(INDEX('VIP Signups'!E$5:E$204,MATCH(ROWS($A$5:A154),'VIP Signups'!$K$5:$K$204,0)),"")</x:f>
      </x:c>
      <x:c r="G154" s="19" t="str">
        <x:f>IFERROR(INDEX('VIP Signups'!H$5:H$204,MATCH(ROWS($A$5:A154),'VIP Signups'!$K$5:$K$204,0)),"")</x:f>
      </x:c>
    </x:row>
    <x:row r="155">
      <x:c r="A155" s="19" t="str">
        <x:f>IFERROR(INDEX('VIP Signups'!A$5:A$204,MATCH(ROWS($A$5:A155),'VIP Signups'!$K$5:$K$204,0)),"")</x:f>
      </x:c>
      <x:c r="B155" s="20" t="str">
        <x:f>IFERROR(INDEX('VIP Signups'!D$5:D$204,MATCH(ROWS($A$5:A155),'VIP Signups'!$K$5:$K$204,0)),"")</x:f>
      </x:c>
      <x:c r="C155" s="19" t="str">
        <x:f>IFERROR(INDEX('VIP Signups'!F$5:F$204,MATCH(ROWS($A$5:A155),'VIP Signups'!$K$5:$K$204,0)),"")</x:f>
      </x:c>
      <x:c r="D155" s="19" t="str">
        <x:f>IFERROR(INDEX('VIP Signups'!G$5:G$204,MATCH(ROWS($A$5:A155),'VIP Signups'!$K$5:$K$204,0)),"")</x:f>
      </x:c>
      <x:c r="E155" s="19" t="str">
        <x:f>IFERROR(INDEX('VIP Signups'!C$5:C$204,MATCH(ROWS($A$5:A155),'VIP Signups'!$K$5:$K$204,0)),"")</x:f>
      </x:c>
      <x:c r="F155" s="19" t="str">
        <x:f>IFERROR(INDEX('VIP Signups'!E$5:E$204,MATCH(ROWS($A$5:A155),'VIP Signups'!$K$5:$K$204,0)),"")</x:f>
      </x:c>
      <x:c r="G155" s="19" t="str">
        <x:f>IFERROR(INDEX('VIP Signups'!H$5:H$204,MATCH(ROWS($A$5:A155),'VIP Signups'!$K$5:$K$204,0)),"")</x:f>
      </x:c>
    </x:row>
    <x:row r="156">
      <x:c r="A156" s="19" t="str">
        <x:f>IFERROR(INDEX('VIP Signups'!A$5:A$204,MATCH(ROWS($A$5:A156),'VIP Signups'!$K$5:$K$204,0)),"")</x:f>
      </x:c>
      <x:c r="B156" s="20" t="str">
        <x:f>IFERROR(INDEX('VIP Signups'!D$5:D$204,MATCH(ROWS($A$5:A156),'VIP Signups'!$K$5:$K$204,0)),"")</x:f>
      </x:c>
      <x:c r="C156" s="19" t="str">
        <x:f>IFERROR(INDEX('VIP Signups'!F$5:F$204,MATCH(ROWS($A$5:A156),'VIP Signups'!$K$5:$K$204,0)),"")</x:f>
      </x:c>
      <x:c r="D156" s="19" t="str">
        <x:f>IFERROR(INDEX('VIP Signups'!G$5:G$204,MATCH(ROWS($A$5:A156),'VIP Signups'!$K$5:$K$204,0)),"")</x:f>
      </x:c>
      <x:c r="E156" s="19" t="str">
        <x:f>IFERROR(INDEX('VIP Signups'!C$5:C$204,MATCH(ROWS($A$5:A156),'VIP Signups'!$K$5:$K$204,0)),"")</x:f>
      </x:c>
      <x:c r="F156" s="19" t="str">
        <x:f>IFERROR(INDEX('VIP Signups'!E$5:E$204,MATCH(ROWS($A$5:A156),'VIP Signups'!$K$5:$K$204,0)),"")</x:f>
      </x:c>
      <x:c r="G156" s="19" t="str">
        <x:f>IFERROR(INDEX('VIP Signups'!H$5:H$204,MATCH(ROWS($A$5:A156),'VIP Signups'!$K$5:$K$204,0)),"")</x:f>
      </x:c>
    </x:row>
    <x:row r="157">
      <x:c r="A157" s="19" t="str">
        <x:f>IFERROR(INDEX('VIP Signups'!A$5:A$204,MATCH(ROWS($A$5:A157),'VIP Signups'!$K$5:$K$204,0)),"")</x:f>
      </x:c>
      <x:c r="B157" s="20" t="str">
        <x:f>IFERROR(INDEX('VIP Signups'!D$5:D$204,MATCH(ROWS($A$5:A157),'VIP Signups'!$K$5:$K$204,0)),"")</x:f>
      </x:c>
      <x:c r="C157" s="19" t="str">
        <x:f>IFERROR(INDEX('VIP Signups'!F$5:F$204,MATCH(ROWS($A$5:A157),'VIP Signups'!$K$5:$K$204,0)),"")</x:f>
      </x:c>
      <x:c r="D157" s="19" t="str">
        <x:f>IFERROR(INDEX('VIP Signups'!G$5:G$204,MATCH(ROWS($A$5:A157),'VIP Signups'!$K$5:$K$204,0)),"")</x:f>
      </x:c>
      <x:c r="E157" s="19" t="str">
        <x:f>IFERROR(INDEX('VIP Signups'!C$5:C$204,MATCH(ROWS($A$5:A157),'VIP Signups'!$K$5:$K$204,0)),"")</x:f>
      </x:c>
      <x:c r="F157" s="19" t="str">
        <x:f>IFERROR(INDEX('VIP Signups'!E$5:E$204,MATCH(ROWS($A$5:A157),'VIP Signups'!$K$5:$K$204,0)),"")</x:f>
      </x:c>
      <x:c r="G157" s="19" t="str">
        <x:f>IFERROR(INDEX('VIP Signups'!H$5:H$204,MATCH(ROWS($A$5:A157),'VIP Signups'!$K$5:$K$204,0)),"")</x:f>
      </x:c>
    </x:row>
    <x:row r="158">
      <x:c r="A158" s="19" t="str">
        <x:f>IFERROR(INDEX('VIP Signups'!A$5:A$204,MATCH(ROWS($A$5:A158),'VIP Signups'!$K$5:$K$204,0)),"")</x:f>
      </x:c>
      <x:c r="B158" s="20" t="str">
        <x:f>IFERROR(INDEX('VIP Signups'!D$5:D$204,MATCH(ROWS($A$5:A158),'VIP Signups'!$K$5:$K$204,0)),"")</x:f>
      </x:c>
      <x:c r="C158" s="19" t="str">
        <x:f>IFERROR(INDEX('VIP Signups'!F$5:F$204,MATCH(ROWS($A$5:A158),'VIP Signups'!$K$5:$K$204,0)),"")</x:f>
      </x:c>
      <x:c r="D158" s="19" t="str">
        <x:f>IFERROR(INDEX('VIP Signups'!G$5:G$204,MATCH(ROWS($A$5:A158),'VIP Signups'!$K$5:$K$204,0)),"")</x:f>
      </x:c>
      <x:c r="E158" s="19" t="str">
        <x:f>IFERROR(INDEX('VIP Signups'!C$5:C$204,MATCH(ROWS($A$5:A158),'VIP Signups'!$K$5:$K$204,0)),"")</x:f>
      </x:c>
      <x:c r="F158" s="19" t="str">
        <x:f>IFERROR(INDEX('VIP Signups'!E$5:E$204,MATCH(ROWS($A$5:A158),'VIP Signups'!$K$5:$K$204,0)),"")</x:f>
      </x:c>
      <x:c r="G158" s="19" t="str">
        <x:f>IFERROR(INDEX('VIP Signups'!H$5:H$204,MATCH(ROWS($A$5:A158),'VIP Signups'!$K$5:$K$204,0)),"")</x:f>
      </x:c>
    </x:row>
    <x:row r="159">
      <x:c r="A159" s="19" t="str">
        <x:f>IFERROR(INDEX('VIP Signups'!A$5:A$204,MATCH(ROWS($A$5:A159),'VIP Signups'!$K$5:$K$204,0)),"")</x:f>
      </x:c>
      <x:c r="B159" s="20" t="str">
        <x:f>IFERROR(INDEX('VIP Signups'!D$5:D$204,MATCH(ROWS($A$5:A159),'VIP Signups'!$K$5:$K$204,0)),"")</x:f>
      </x:c>
      <x:c r="C159" s="19" t="str">
        <x:f>IFERROR(INDEX('VIP Signups'!F$5:F$204,MATCH(ROWS($A$5:A159),'VIP Signups'!$K$5:$K$204,0)),"")</x:f>
      </x:c>
      <x:c r="D159" s="19" t="str">
        <x:f>IFERROR(INDEX('VIP Signups'!G$5:G$204,MATCH(ROWS($A$5:A159),'VIP Signups'!$K$5:$K$204,0)),"")</x:f>
      </x:c>
      <x:c r="E159" s="19" t="str">
        <x:f>IFERROR(INDEX('VIP Signups'!C$5:C$204,MATCH(ROWS($A$5:A159),'VIP Signups'!$K$5:$K$204,0)),"")</x:f>
      </x:c>
      <x:c r="F159" s="19" t="str">
        <x:f>IFERROR(INDEX('VIP Signups'!E$5:E$204,MATCH(ROWS($A$5:A159),'VIP Signups'!$K$5:$K$204,0)),"")</x:f>
      </x:c>
      <x:c r="G159" s="19" t="str">
        <x:f>IFERROR(INDEX('VIP Signups'!H$5:H$204,MATCH(ROWS($A$5:A159),'VIP Signups'!$K$5:$K$204,0)),"")</x:f>
      </x:c>
    </x:row>
    <x:row r="160">
      <x:c r="A160" s="19" t="str">
        <x:f>IFERROR(INDEX('VIP Signups'!A$5:A$204,MATCH(ROWS($A$5:A160),'VIP Signups'!$K$5:$K$204,0)),"")</x:f>
      </x:c>
      <x:c r="B160" s="20" t="str">
        <x:f>IFERROR(INDEX('VIP Signups'!D$5:D$204,MATCH(ROWS($A$5:A160),'VIP Signups'!$K$5:$K$204,0)),"")</x:f>
      </x:c>
      <x:c r="C160" s="19" t="str">
        <x:f>IFERROR(INDEX('VIP Signups'!F$5:F$204,MATCH(ROWS($A$5:A160),'VIP Signups'!$K$5:$K$204,0)),"")</x:f>
      </x:c>
      <x:c r="D160" s="19" t="str">
        <x:f>IFERROR(INDEX('VIP Signups'!G$5:G$204,MATCH(ROWS($A$5:A160),'VIP Signups'!$K$5:$K$204,0)),"")</x:f>
      </x:c>
      <x:c r="E160" s="19" t="str">
        <x:f>IFERROR(INDEX('VIP Signups'!C$5:C$204,MATCH(ROWS($A$5:A160),'VIP Signups'!$K$5:$K$204,0)),"")</x:f>
      </x:c>
      <x:c r="F160" s="19" t="str">
        <x:f>IFERROR(INDEX('VIP Signups'!E$5:E$204,MATCH(ROWS($A$5:A160),'VIP Signups'!$K$5:$K$204,0)),"")</x:f>
      </x:c>
      <x:c r="G160" s="19" t="str">
        <x:f>IFERROR(INDEX('VIP Signups'!H$5:H$204,MATCH(ROWS($A$5:A160),'VIP Signups'!$K$5:$K$204,0)),"")</x:f>
      </x:c>
    </x:row>
    <x:row r="161">
      <x:c r="A161" s="19" t="str">
        <x:f>IFERROR(INDEX('VIP Signups'!A$5:A$204,MATCH(ROWS($A$5:A161),'VIP Signups'!$K$5:$K$204,0)),"")</x:f>
      </x:c>
      <x:c r="B161" s="20" t="str">
        <x:f>IFERROR(INDEX('VIP Signups'!D$5:D$204,MATCH(ROWS($A$5:A161),'VIP Signups'!$K$5:$K$204,0)),"")</x:f>
      </x:c>
      <x:c r="C161" s="19" t="str">
        <x:f>IFERROR(INDEX('VIP Signups'!F$5:F$204,MATCH(ROWS($A$5:A161),'VIP Signups'!$K$5:$K$204,0)),"")</x:f>
      </x:c>
      <x:c r="D161" s="19" t="str">
        <x:f>IFERROR(INDEX('VIP Signups'!G$5:G$204,MATCH(ROWS($A$5:A161),'VIP Signups'!$K$5:$K$204,0)),"")</x:f>
      </x:c>
      <x:c r="E161" s="19" t="str">
        <x:f>IFERROR(INDEX('VIP Signups'!C$5:C$204,MATCH(ROWS($A$5:A161),'VIP Signups'!$K$5:$K$204,0)),"")</x:f>
      </x:c>
      <x:c r="F161" s="19" t="str">
        <x:f>IFERROR(INDEX('VIP Signups'!E$5:E$204,MATCH(ROWS($A$5:A161),'VIP Signups'!$K$5:$K$204,0)),"")</x:f>
      </x:c>
      <x:c r="G161" s="19" t="str">
        <x:f>IFERROR(INDEX('VIP Signups'!H$5:H$204,MATCH(ROWS($A$5:A161),'VIP Signups'!$K$5:$K$204,0)),"")</x:f>
      </x:c>
    </x:row>
    <x:row r="162">
      <x:c r="A162" s="19" t="str">
        <x:f>IFERROR(INDEX('VIP Signups'!A$5:A$204,MATCH(ROWS($A$5:A162),'VIP Signups'!$K$5:$K$204,0)),"")</x:f>
      </x:c>
      <x:c r="B162" s="20" t="str">
        <x:f>IFERROR(INDEX('VIP Signups'!D$5:D$204,MATCH(ROWS($A$5:A162),'VIP Signups'!$K$5:$K$204,0)),"")</x:f>
      </x:c>
      <x:c r="C162" s="19" t="str">
        <x:f>IFERROR(INDEX('VIP Signups'!F$5:F$204,MATCH(ROWS($A$5:A162),'VIP Signups'!$K$5:$K$204,0)),"")</x:f>
      </x:c>
      <x:c r="D162" s="19" t="str">
        <x:f>IFERROR(INDEX('VIP Signups'!G$5:G$204,MATCH(ROWS($A$5:A162),'VIP Signups'!$K$5:$K$204,0)),"")</x:f>
      </x:c>
      <x:c r="E162" s="19" t="str">
        <x:f>IFERROR(INDEX('VIP Signups'!C$5:C$204,MATCH(ROWS($A$5:A162),'VIP Signups'!$K$5:$K$204,0)),"")</x:f>
      </x:c>
      <x:c r="F162" s="19" t="str">
        <x:f>IFERROR(INDEX('VIP Signups'!E$5:E$204,MATCH(ROWS($A$5:A162),'VIP Signups'!$K$5:$K$204,0)),"")</x:f>
      </x:c>
      <x:c r="G162" s="19" t="str">
        <x:f>IFERROR(INDEX('VIP Signups'!H$5:H$204,MATCH(ROWS($A$5:A162),'VIP Signups'!$K$5:$K$204,0)),"")</x:f>
      </x:c>
    </x:row>
    <x:row r="163">
      <x:c r="A163" s="19" t="str">
        <x:f>IFERROR(INDEX('VIP Signups'!A$5:A$204,MATCH(ROWS($A$5:A163),'VIP Signups'!$K$5:$K$204,0)),"")</x:f>
      </x:c>
      <x:c r="B163" s="20" t="str">
        <x:f>IFERROR(INDEX('VIP Signups'!D$5:D$204,MATCH(ROWS($A$5:A163),'VIP Signups'!$K$5:$K$204,0)),"")</x:f>
      </x:c>
      <x:c r="C163" s="19" t="str">
        <x:f>IFERROR(INDEX('VIP Signups'!F$5:F$204,MATCH(ROWS($A$5:A163),'VIP Signups'!$K$5:$K$204,0)),"")</x:f>
      </x:c>
      <x:c r="D163" s="19" t="str">
        <x:f>IFERROR(INDEX('VIP Signups'!G$5:G$204,MATCH(ROWS($A$5:A163),'VIP Signups'!$K$5:$K$204,0)),"")</x:f>
      </x:c>
      <x:c r="E163" s="19" t="str">
        <x:f>IFERROR(INDEX('VIP Signups'!C$5:C$204,MATCH(ROWS($A$5:A163),'VIP Signups'!$K$5:$K$204,0)),"")</x:f>
      </x:c>
      <x:c r="F163" s="19" t="str">
        <x:f>IFERROR(INDEX('VIP Signups'!E$5:E$204,MATCH(ROWS($A$5:A163),'VIP Signups'!$K$5:$K$204,0)),"")</x:f>
      </x:c>
      <x:c r="G163" s="19" t="str">
        <x:f>IFERROR(INDEX('VIP Signups'!H$5:H$204,MATCH(ROWS($A$5:A163),'VIP Signups'!$K$5:$K$204,0)),"")</x:f>
      </x:c>
    </x:row>
    <x:row r="164">
      <x:c r="A164" s="19" t="str">
        <x:f>IFERROR(INDEX('VIP Signups'!A$5:A$204,MATCH(ROWS($A$5:A164),'VIP Signups'!$K$5:$K$204,0)),"")</x:f>
      </x:c>
      <x:c r="B164" s="20" t="str">
        <x:f>IFERROR(INDEX('VIP Signups'!D$5:D$204,MATCH(ROWS($A$5:A164),'VIP Signups'!$K$5:$K$204,0)),"")</x:f>
      </x:c>
      <x:c r="C164" s="19" t="str">
        <x:f>IFERROR(INDEX('VIP Signups'!F$5:F$204,MATCH(ROWS($A$5:A164),'VIP Signups'!$K$5:$K$204,0)),"")</x:f>
      </x:c>
      <x:c r="D164" s="19" t="str">
        <x:f>IFERROR(INDEX('VIP Signups'!G$5:G$204,MATCH(ROWS($A$5:A164),'VIP Signups'!$K$5:$K$204,0)),"")</x:f>
      </x:c>
      <x:c r="E164" s="19" t="str">
        <x:f>IFERROR(INDEX('VIP Signups'!C$5:C$204,MATCH(ROWS($A$5:A164),'VIP Signups'!$K$5:$K$204,0)),"")</x:f>
      </x:c>
      <x:c r="F164" s="19" t="str">
        <x:f>IFERROR(INDEX('VIP Signups'!E$5:E$204,MATCH(ROWS($A$5:A164),'VIP Signups'!$K$5:$K$204,0)),"")</x:f>
      </x:c>
      <x:c r="G164" s="19" t="str">
        <x:f>IFERROR(INDEX('VIP Signups'!H$5:H$204,MATCH(ROWS($A$5:A164),'VIP Signups'!$K$5:$K$204,0)),"")</x:f>
      </x:c>
    </x:row>
    <x:row r="165">
      <x:c r="A165" s="19" t="str">
        <x:f>IFERROR(INDEX('VIP Signups'!A$5:A$204,MATCH(ROWS($A$5:A165),'VIP Signups'!$K$5:$K$204,0)),"")</x:f>
      </x:c>
      <x:c r="B165" s="20" t="str">
        <x:f>IFERROR(INDEX('VIP Signups'!D$5:D$204,MATCH(ROWS($A$5:A165),'VIP Signups'!$K$5:$K$204,0)),"")</x:f>
      </x:c>
      <x:c r="C165" s="19" t="str">
        <x:f>IFERROR(INDEX('VIP Signups'!F$5:F$204,MATCH(ROWS($A$5:A165),'VIP Signups'!$K$5:$K$204,0)),"")</x:f>
      </x:c>
      <x:c r="D165" s="19" t="str">
        <x:f>IFERROR(INDEX('VIP Signups'!G$5:G$204,MATCH(ROWS($A$5:A165),'VIP Signups'!$K$5:$K$204,0)),"")</x:f>
      </x:c>
      <x:c r="E165" s="19" t="str">
        <x:f>IFERROR(INDEX('VIP Signups'!C$5:C$204,MATCH(ROWS($A$5:A165),'VIP Signups'!$K$5:$K$204,0)),"")</x:f>
      </x:c>
      <x:c r="F165" s="19" t="str">
        <x:f>IFERROR(INDEX('VIP Signups'!E$5:E$204,MATCH(ROWS($A$5:A165),'VIP Signups'!$K$5:$K$204,0)),"")</x:f>
      </x:c>
      <x:c r="G165" s="19" t="str">
        <x:f>IFERROR(INDEX('VIP Signups'!H$5:H$204,MATCH(ROWS($A$5:A165),'VIP Signups'!$K$5:$K$204,0)),"")</x:f>
      </x:c>
    </x:row>
    <x:row r="166">
      <x:c r="A166" s="19" t="str">
        <x:f>IFERROR(INDEX('VIP Signups'!A$5:A$204,MATCH(ROWS($A$5:A166),'VIP Signups'!$K$5:$K$204,0)),"")</x:f>
      </x:c>
      <x:c r="B166" s="20" t="str">
        <x:f>IFERROR(INDEX('VIP Signups'!D$5:D$204,MATCH(ROWS($A$5:A166),'VIP Signups'!$K$5:$K$204,0)),"")</x:f>
      </x:c>
      <x:c r="C166" s="19" t="str">
        <x:f>IFERROR(INDEX('VIP Signups'!F$5:F$204,MATCH(ROWS($A$5:A166),'VIP Signups'!$K$5:$K$204,0)),"")</x:f>
      </x:c>
      <x:c r="D166" s="19" t="str">
        <x:f>IFERROR(INDEX('VIP Signups'!G$5:G$204,MATCH(ROWS($A$5:A166),'VIP Signups'!$K$5:$K$204,0)),"")</x:f>
      </x:c>
      <x:c r="E166" s="19" t="str">
        <x:f>IFERROR(INDEX('VIP Signups'!C$5:C$204,MATCH(ROWS($A$5:A166),'VIP Signups'!$K$5:$K$204,0)),"")</x:f>
      </x:c>
      <x:c r="F166" s="19" t="str">
        <x:f>IFERROR(INDEX('VIP Signups'!E$5:E$204,MATCH(ROWS($A$5:A166),'VIP Signups'!$K$5:$K$204,0)),"")</x:f>
      </x:c>
      <x:c r="G166" s="19" t="str">
        <x:f>IFERROR(INDEX('VIP Signups'!H$5:H$204,MATCH(ROWS($A$5:A166),'VIP Signups'!$K$5:$K$204,0)),"")</x:f>
      </x:c>
    </x:row>
    <x:row r="167">
      <x:c r="A167" s="19" t="str">
        <x:f>IFERROR(INDEX('VIP Signups'!A$5:A$204,MATCH(ROWS($A$5:A167),'VIP Signups'!$K$5:$K$204,0)),"")</x:f>
      </x:c>
      <x:c r="B167" s="20" t="str">
        <x:f>IFERROR(INDEX('VIP Signups'!D$5:D$204,MATCH(ROWS($A$5:A167),'VIP Signups'!$K$5:$K$204,0)),"")</x:f>
      </x:c>
      <x:c r="C167" s="19" t="str">
        <x:f>IFERROR(INDEX('VIP Signups'!F$5:F$204,MATCH(ROWS($A$5:A167),'VIP Signups'!$K$5:$K$204,0)),"")</x:f>
      </x:c>
      <x:c r="D167" s="19" t="str">
        <x:f>IFERROR(INDEX('VIP Signups'!G$5:G$204,MATCH(ROWS($A$5:A167),'VIP Signups'!$K$5:$K$204,0)),"")</x:f>
      </x:c>
      <x:c r="E167" s="19" t="str">
        <x:f>IFERROR(INDEX('VIP Signups'!C$5:C$204,MATCH(ROWS($A$5:A167),'VIP Signups'!$K$5:$K$204,0)),"")</x:f>
      </x:c>
      <x:c r="F167" s="19" t="str">
        <x:f>IFERROR(INDEX('VIP Signups'!E$5:E$204,MATCH(ROWS($A$5:A167),'VIP Signups'!$K$5:$K$204,0)),"")</x:f>
      </x:c>
      <x:c r="G167" s="19" t="str">
        <x:f>IFERROR(INDEX('VIP Signups'!H$5:H$204,MATCH(ROWS($A$5:A167),'VIP Signups'!$K$5:$K$204,0)),"")</x:f>
      </x:c>
    </x:row>
    <x:row r="168">
      <x:c r="A168" s="19" t="str">
        <x:f>IFERROR(INDEX('VIP Signups'!A$5:A$204,MATCH(ROWS($A$5:A168),'VIP Signups'!$K$5:$K$204,0)),"")</x:f>
      </x:c>
      <x:c r="B168" s="20" t="str">
        <x:f>IFERROR(INDEX('VIP Signups'!D$5:D$204,MATCH(ROWS($A$5:A168),'VIP Signups'!$K$5:$K$204,0)),"")</x:f>
      </x:c>
      <x:c r="C168" s="19" t="str">
        <x:f>IFERROR(INDEX('VIP Signups'!F$5:F$204,MATCH(ROWS($A$5:A168),'VIP Signups'!$K$5:$K$204,0)),"")</x:f>
      </x:c>
      <x:c r="D168" s="19" t="str">
        <x:f>IFERROR(INDEX('VIP Signups'!G$5:G$204,MATCH(ROWS($A$5:A168),'VIP Signups'!$K$5:$K$204,0)),"")</x:f>
      </x:c>
      <x:c r="E168" s="19" t="str">
        <x:f>IFERROR(INDEX('VIP Signups'!C$5:C$204,MATCH(ROWS($A$5:A168),'VIP Signups'!$K$5:$K$204,0)),"")</x:f>
      </x:c>
      <x:c r="F168" s="19" t="str">
        <x:f>IFERROR(INDEX('VIP Signups'!E$5:E$204,MATCH(ROWS($A$5:A168),'VIP Signups'!$K$5:$K$204,0)),"")</x:f>
      </x:c>
      <x:c r="G168" s="19" t="str">
        <x:f>IFERROR(INDEX('VIP Signups'!H$5:H$204,MATCH(ROWS($A$5:A168),'VIP Signups'!$K$5:$K$204,0)),"")</x:f>
      </x:c>
    </x:row>
    <x:row r="169">
      <x:c r="A169" s="19" t="str">
        <x:f>IFERROR(INDEX('VIP Signups'!A$5:A$204,MATCH(ROWS($A$5:A169),'VIP Signups'!$K$5:$K$204,0)),"")</x:f>
      </x:c>
      <x:c r="B169" s="20" t="str">
        <x:f>IFERROR(INDEX('VIP Signups'!D$5:D$204,MATCH(ROWS($A$5:A169),'VIP Signups'!$K$5:$K$204,0)),"")</x:f>
      </x:c>
      <x:c r="C169" s="19" t="str">
        <x:f>IFERROR(INDEX('VIP Signups'!F$5:F$204,MATCH(ROWS($A$5:A169),'VIP Signups'!$K$5:$K$204,0)),"")</x:f>
      </x:c>
      <x:c r="D169" s="19" t="str">
        <x:f>IFERROR(INDEX('VIP Signups'!G$5:G$204,MATCH(ROWS($A$5:A169),'VIP Signups'!$K$5:$K$204,0)),"")</x:f>
      </x:c>
      <x:c r="E169" s="19" t="str">
        <x:f>IFERROR(INDEX('VIP Signups'!C$5:C$204,MATCH(ROWS($A$5:A169),'VIP Signups'!$K$5:$K$204,0)),"")</x:f>
      </x:c>
      <x:c r="F169" s="19" t="str">
        <x:f>IFERROR(INDEX('VIP Signups'!E$5:E$204,MATCH(ROWS($A$5:A169),'VIP Signups'!$K$5:$K$204,0)),"")</x:f>
      </x:c>
      <x:c r="G169" s="19" t="str">
        <x:f>IFERROR(INDEX('VIP Signups'!H$5:H$204,MATCH(ROWS($A$5:A169),'VIP Signups'!$K$5:$K$204,0)),"")</x:f>
      </x:c>
    </x:row>
    <x:row r="170">
      <x:c r="A170" s="19" t="str">
        <x:f>IFERROR(INDEX('VIP Signups'!A$5:A$204,MATCH(ROWS($A$5:A170),'VIP Signups'!$K$5:$K$204,0)),"")</x:f>
      </x:c>
      <x:c r="B170" s="20" t="str">
        <x:f>IFERROR(INDEX('VIP Signups'!D$5:D$204,MATCH(ROWS($A$5:A170),'VIP Signups'!$K$5:$K$204,0)),"")</x:f>
      </x:c>
      <x:c r="C170" s="19" t="str">
        <x:f>IFERROR(INDEX('VIP Signups'!F$5:F$204,MATCH(ROWS($A$5:A170),'VIP Signups'!$K$5:$K$204,0)),"")</x:f>
      </x:c>
      <x:c r="D170" s="19" t="str">
        <x:f>IFERROR(INDEX('VIP Signups'!G$5:G$204,MATCH(ROWS($A$5:A170),'VIP Signups'!$K$5:$K$204,0)),"")</x:f>
      </x:c>
      <x:c r="E170" s="19" t="str">
        <x:f>IFERROR(INDEX('VIP Signups'!C$5:C$204,MATCH(ROWS($A$5:A170),'VIP Signups'!$K$5:$K$204,0)),"")</x:f>
      </x:c>
      <x:c r="F170" s="19" t="str">
        <x:f>IFERROR(INDEX('VIP Signups'!E$5:E$204,MATCH(ROWS($A$5:A170),'VIP Signups'!$K$5:$K$204,0)),"")</x:f>
      </x:c>
      <x:c r="G170" s="19" t="str">
        <x:f>IFERROR(INDEX('VIP Signups'!H$5:H$204,MATCH(ROWS($A$5:A170),'VIP Signups'!$K$5:$K$204,0)),"")</x:f>
      </x:c>
    </x:row>
    <x:row r="171">
      <x:c r="A171" s="19" t="str">
        <x:f>IFERROR(INDEX('VIP Signups'!A$5:A$204,MATCH(ROWS($A$5:A171),'VIP Signups'!$K$5:$K$204,0)),"")</x:f>
      </x:c>
      <x:c r="B171" s="20" t="str">
        <x:f>IFERROR(INDEX('VIP Signups'!D$5:D$204,MATCH(ROWS($A$5:A171),'VIP Signups'!$K$5:$K$204,0)),"")</x:f>
      </x:c>
      <x:c r="C171" s="19" t="str">
        <x:f>IFERROR(INDEX('VIP Signups'!F$5:F$204,MATCH(ROWS($A$5:A171),'VIP Signups'!$K$5:$K$204,0)),"")</x:f>
      </x:c>
      <x:c r="D171" s="19" t="str">
        <x:f>IFERROR(INDEX('VIP Signups'!G$5:G$204,MATCH(ROWS($A$5:A171),'VIP Signups'!$K$5:$K$204,0)),"")</x:f>
      </x:c>
      <x:c r="E171" s="19" t="str">
        <x:f>IFERROR(INDEX('VIP Signups'!C$5:C$204,MATCH(ROWS($A$5:A171),'VIP Signups'!$K$5:$K$204,0)),"")</x:f>
      </x:c>
      <x:c r="F171" s="19" t="str">
        <x:f>IFERROR(INDEX('VIP Signups'!E$5:E$204,MATCH(ROWS($A$5:A171),'VIP Signups'!$K$5:$K$204,0)),"")</x:f>
      </x:c>
      <x:c r="G171" s="19" t="str">
        <x:f>IFERROR(INDEX('VIP Signups'!H$5:H$204,MATCH(ROWS($A$5:A171),'VIP Signups'!$K$5:$K$204,0)),"")</x:f>
      </x:c>
    </x:row>
    <x:row r="172">
      <x:c r="A172" s="19" t="str">
        <x:f>IFERROR(INDEX('VIP Signups'!A$5:A$204,MATCH(ROWS($A$5:A172),'VIP Signups'!$K$5:$K$204,0)),"")</x:f>
      </x:c>
      <x:c r="B172" s="20" t="str">
        <x:f>IFERROR(INDEX('VIP Signups'!D$5:D$204,MATCH(ROWS($A$5:A172),'VIP Signups'!$K$5:$K$204,0)),"")</x:f>
      </x:c>
      <x:c r="C172" s="19" t="str">
        <x:f>IFERROR(INDEX('VIP Signups'!F$5:F$204,MATCH(ROWS($A$5:A172),'VIP Signups'!$K$5:$K$204,0)),"")</x:f>
      </x:c>
      <x:c r="D172" s="19" t="str">
        <x:f>IFERROR(INDEX('VIP Signups'!G$5:G$204,MATCH(ROWS($A$5:A172),'VIP Signups'!$K$5:$K$204,0)),"")</x:f>
      </x:c>
      <x:c r="E172" s="19" t="str">
        <x:f>IFERROR(INDEX('VIP Signups'!C$5:C$204,MATCH(ROWS($A$5:A172),'VIP Signups'!$K$5:$K$204,0)),"")</x:f>
      </x:c>
      <x:c r="F172" s="19" t="str">
        <x:f>IFERROR(INDEX('VIP Signups'!E$5:E$204,MATCH(ROWS($A$5:A172),'VIP Signups'!$K$5:$K$204,0)),"")</x:f>
      </x:c>
      <x:c r="G172" s="19" t="str">
        <x:f>IFERROR(INDEX('VIP Signups'!H$5:H$204,MATCH(ROWS($A$5:A172),'VIP Signups'!$K$5:$K$204,0)),"")</x:f>
      </x:c>
    </x:row>
    <x:row r="173">
      <x:c r="A173" s="19" t="str">
        <x:f>IFERROR(INDEX('VIP Signups'!A$5:A$204,MATCH(ROWS($A$5:A173),'VIP Signups'!$K$5:$K$204,0)),"")</x:f>
      </x:c>
      <x:c r="B173" s="20" t="str">
        <x:f>IFERROR(INDEX('VIP Signups'!D$5:D$204,MATCH(ROWS($A$5:A173),'VIP Signups'!$K$5:$K$204,0)),"")</x:f>
      </x:c>
      <x:c r="C173" s="19" t="str">
        <x:f>IFERROR(INDEX('VIP Signups'!F$5:F$204,MATCH(ROWS($A$5:A173),'VIP Signups'!$K$5:$K$204,0)),"")</x:f>
      </x:c>
      <x:c r="D173" s="19" t="str">
        <x:f>IFERROR(INDEX('VIP Signups'!G$5:G$204,MATCH(ROWS($A$5:A173),'VIP Signups'!$K$5:$K$204,0)),"")</x:f>
      </x:c>
      <x:c r="E173" s="19" t="str">
        <x:f>IFERROR(INDEX('VIP Signups'!C$5:C$204,MATCH(ROWS($A$5:A173),'VIP Signups'!$K$5:$K$204,0)),"")</x:f>
      </x:c>
      <x:c r="F173" s="19" t="str">
        <x:f>IFERROR(INDEX('VIP Signups'!E$5:E$204,MATCH(ROWS($A$5:A173),'VIP Signups'!$K$5:$K$204,0)),"")</x:f>
      </x:c>
      <x:c r="G173" s="19" t="str">
        <x:f>IFERROR(INDEX('VIP Signups'!H$5:H$204,MATCH(ROWS($A$5:A173),'VIP Signups'!$K$5:$K$204,0)),"")</x:f>
      </x:c>
    </x:row>
    <x:row r="174">
      <x:c r="A174" s="19" t="str">
        <x:f>IFERROR(INDEX('VIP Signups'!A$5:A$204,MATCH(ROWS($A$5:A174),'VIP Signups'!$K$5:$K$204,0)),"")</x:f>
      </x:c>
      <x:c r="B174" s="20" t="str">
        <x:f>IFERROR(INDEX('VIP Signups'!D$5:D$204,MATCH(ROWS($A$5:A174),'VIP Signups'!$K$5:$K$204,0)),"")</x:f>
      </x:c>
      <x:c r="C174" s="19" t="str">
        <x:f>IFERROR(INDEX('VIP Signups'!F$5:F$204,MATCH(ROWS($A$5:A174),'VIP Signups'!$K$5:$K$204,0)),"")</x:f>
      </x:c>
      <x:c r="D174" s="19" t="str">
        <x:f>IFERROR(INDEX('VIP Signups'!G$5:G$204,MATCH(ROWS($A$5:A174),'VIP Signups'!$K$5:$K$204,0)),"")</x:f>
      </x:c>
      <x:c r="E174" s="19" t="str">
        <x:f>IFERROR(INDEX('VIP Signups'!C$5:C$204,MATCH(ROWS($A$5:A174),'VIP Signups'!$K$5:$K$204,0)),"")</x:f>
      </x:c>
      <x:c r="F174" s="19" t="str">
        <x:f>IFERROR(INDEX('VIP Signups'!E$5:E$204,MATCH(ROWS($A$5:A174),'VIP Signups'!$K$5:$K$204,0)),"")</x:f>
      </x:c>
      <x:c r="G174" s="19" t="str">
        <x:f>IFERROR(INDEX('VIP Signups'!H$5:H$204,MATCH(ROWS($A$5:A174),'VIP Signups'!$K$5:$K$204,0)),"")</x:f>
      </x:c>
    </x:row>
    <x:row r="175">
      <x:c r="A175" s="19" t="str">
        <x:f>IFERROR(INDEX('VIP Signups'!A$5:A$204,MATCH(ROWS($A$5:A175),'VIP Signups'!$K$5:$K$204,0)),"")</x:f>
      </x:c>
      <x:c r="B175" s="20" t="str">
        <x:f>IFERROR(INDEX('VIP Signups'!D$5:D$204,MATCH(ROWS($A$5:A175),'VIP Signups'!$K$5:$K$204,0)),"")</x:f>
      </x:c>
      <x:c r="C175" s="19" t="str">
        <x:f>IFERROR(INDEX('VIP Signups'!F$5:F$204,MATCH(ROWS($A$5:A175),'VIP Signups'!$K$5:$K$204,0)),"")</x:f>
      </x:c>
      <x:c r="D175" s="19" t="str">
        <x:f>IFERROR(INDEX('VIP Signups'!G$5:G$204,MATCH(ROWS($A$5:A175),'VIP Signups'!$K$5:$K$204,0)),"")</x:f>
      </x:c>
      <x:c r="E175" s="19" t="str">
        <x:f>IFERROR(INDEX('VIP Signups'!C$5:C$204,MATCH(ROWS($A$5:A175),'VIP Signups'!$K$5:$K$204,0)),"")</x:f>
      </x:c>
      <x:c r="F175" s="19" t="str">
        <x:f>IFERROR(INDEX('VIP Signups'!E$5:E$204,MATCH(ROWS($A$5:A175),'VIP Signups'!$K$5:$K$204,0)),"")</x:f>
      </x:c>
      <x:c r="G175" s="19" t="str">
        <x:f>IFERROR(INDEX('VIP Signups'!H$5:H$204,MATCH(ROWS($A$5:A175),'VIP Signups'!$K$5:$K$204,0)),"")</x:f>
      </x:c>
    </x:row>
    <x:row r="176">
      <x:c r="A176" s="19" t="str">
        <x:f>IFERROR(INDEX('VIP Signups'!A$5:A$204,MATCH(ROWS($A$5:A176),'VIP Signups'!$K$5:$K$204,0)),"")</x:f>
      </x:c>
      <x:c r="B176" s="20" t="str">
        <x:f>IFERROR(INDEX('VIP Signups'!D$5:D$204,MATCH(ROWS($A$5:A176),'VIP Signups'!$K$5:$K$204,0)),"")</x:f>
      </x:c>
      <x:c r="C176" s="19" t="str">
        <x:f>IFERROR(INDEX('VIP Signups'!F$5:F$204,MATCH(ROWS($A$5:A176),'VIP Signups'!$K$5:$K$204,0)),"")</x:f>
      </x:c>
      <x:c r="D176" s="19" t="str">
        <x:f>IFERROR(INDEX('VIP Signups'!G$5:G$204,MATCH(ROWS($A$5:A176),'VIP Signups'!$K$5:$K$204,0)),"")</x:f>
      </x:c>
      <x:c r="E176" s="19" t="str">
        <x:f>IFERROR(INDEX('VIP Signups'!C$5:C$204,MATCH(ROWS($A$5:A176),'VIP Signups'!$K$5:$K$204,0)),"")</x:f>
      </x:c>
      <x:c r="F176" s="19" t="str">
        <x:f>IFERROR(INDEX('VIP Signups'!E$5:E$204,MATCH(ROWS($A$5:A176),'VIP Signups'!$K$5:$K$204,0)),"")</x:f>
      </x:c>
      <x:c r="G176" s="19" t="str">
        <x:f>IFERROR(INDEX('VIP Signups'!H$5:H$204,MATCH(ROWS($A$5:A176),'VIP Signups'!$K$5:$K$204,0)),"")</x:f>
      </x:c>
    </x:row>
    <x:row r="177">
      <x:c r="A177" s="19" t="str">
        <x:f>IFERROR(INDEX('VIP Signups'!A$5:A$204,MATCH(ROWS($A$5:A177),'VIP Signups'!$K$5:$K$204,0)),"")</x:f>
      </x:c>
      <x:c r="B177" s="20" t="str">
        <x:f>IFERROR(INDEX('VIP Signups'!D$5:D$204,MATCH(ROWS($A$5:A177),'VIP Signups'!$K$5:$K$204,0)),"")</x:f>
      </x:c>
      <x:c r="C177" s="19" t="str">
        <x:f>IFERROR(INDEX('VIP Signups'!F$5:F$204,MATCH(ROWS($A$5:A177),'VIP Signups'!$K$5:$K$204,0)),"")</x:f>
      </x:c>
      <x:c r="D177" s="19" t="str">
        <x:f>IFERROR(INDEX('VIP Signups'!G$5:G$204,MATCH(ROWS($A$5:A177),'VIP Signups'!$K$5:$K$204,0)),"")</x:f>
      </x:c>
      <x:c r="E177" s="19" t="str">
        <x:f>IFERROR(INDEX('VIP Signups'!C$5:C$204,MATCH(ROWS($A$5:A177),'VIP Signups'!$K$5:$K$204,0)),"")</x:f>
      </x:c>
      <x:c r="F177" s="19" t="str">
        <x:f>IFERROR(INDEX('VIP Signups'!E$5:E$204,MATCH(ROWS($A$5:A177),'VIP Signups'!$K$5:$K$204,0)),"")</x:f>
      </x:c>
      <x:c r="G177" s="19" t="str">
        <x:f>IFERROR(INDEX('VIP Signups'!H$5:H$204,MATCH(ROWS($A$5:A177),'VIP Signups'!$K$5:$K$204,0)),"")</x:f>
      </x:c>
    </x:row>
    <x:row r="178">
      <x:c r="A178" s="19" t="str">
        <x:f>IFERROR(INDEX('VIP Signups'!A$5:A$204,MATCH(ROWS($A$5:A178),'VIP Signups'!$K$5:$K$204,0)),"")</x:f>
      </x:c>
      <x:c r="B178" s="20" t="str">
        <x:f>IFERROR(INDEX('VIP Signups'!D$5:D$204,MATCH(ROWS($A$5:A178),'VIP Signups'!$K$5:$K$204,0)),"")</x:f>
      </x:c>
      <x:c r="C178" s="19" t="str">
        <x:f>IFERROR(INDEX('VIP Signups'!F$5:F$204,MATCH(ROWS($A$5:A178),'VIP Signups'!$K$5:$K$204,0)),"")</x:f>
      </x:c>
      <x:c r="D178" s="19" t="str">
        <x:f>IFERROR(INDEX('VIP Signups'!G$5:G$204,MATCH(ROWS($A$5:A178),'VIP Signups'!$K$5:$K$204,0)),"")</x:f>
      </x:c>
      <x:c r="E178" s="19" t="str">
        <x:f>IFERROR(INDEX('VIP Signups'!C$5:C$204,MATCH(ROWS($A$5:A178),'VIP Signups'!$K$5:$K$204,0)),"")</x:f>
      </x:c>
      <x:c r="F178" s="19" t="str">
        <x:f>IFERROR(INDEX('VIP Signups'!E$5:E$204,MATCH(ROWS($A$5:A178),'VIP Signups'!$K$5:$K$204,0)),"")</x:f>
      </x:c>
      <x:c r="G178" s="19" t="str">
        <x:f>IFERROR(INDEX('VIP Signups'!H$5:H$204,MATCH(ROWS($A$5:A178),'VIP Signups'!$K$5:$K$204,0)),"")</x:f>
      </x:c>
    </x:row>
    <x:row r="179">
      <x:c r="A179" s="19" t="str">
        <x:f>IFERROR(INDEX('VIP Signups'!A$5:A$204,MATCH(ROWS($A$5:A179),'VIP Signups'!$K$5:$K$204,0)),"")</x:f>
      </x:c>
      <x:c r="B179" s="20" t="str">
        <x:f>IFERROR(INDEX('VIP Signups'!D$5:D$204,MATCH(ROWS($A$5:A179),'VIP Signups'!$K$5:$K$204,0)),"")</x:f>
      </x:c>
      <x:c r="C179" s="19" t="str">
        <x:f>IFERROR(INDEX('VIP Signups'!F$5:F$204,MATCH(ROWS($A$5:A179),'VIP Signups'!$K$5:$K$204,0)),"")</x:f>
      </x:c>
      <x:c r="D179" s="19" t="str">
        <x:f>IFERROR(INDEX('VIP Signups'!G$5:G$204,MATCH(ROWS($A$5:A179),'VIP Signups'!$K$5:$K$204,0)),"")</x:f>
      </x:c>
      <x:c r="E179" s="19" t="str">
        <x:f>IFERROR(INDEX('VIP Signups'!C$5:C$204,MATCH(ROWS($A$5:A179),'VIP Signups'!$K$5:$K$204,0)),"")</x:f>
      </x:c>
      <x:c r="F179" s="19" t="str">
        <x:f>IFERROR(INDEX('VIP Signups'!E$5:E$204,MATCH(ROWS($A$5:A179),'VIP Signups'!$K$5:$K$204,0)),"")</x:f>
      </x:c>
      <x:c r="G179" s="19" t="str">
        <x:f>IFERROR(INDEX('VIP Signups'!H$5:H$204,MATCH(ROWS($A$5:A179),'VIP Signups'!$K$5:$K$204,0)),"")</x:f>
      </x:c>
    </x:row>
    <x:row r="180">
      <x:c r="A180" s="19" t="str">
        <x:f>IFERROR(INDEX('VIP Signups'!A$5:A$204,MATCH(ROWS($A$5:A180),'VIP Signups'!$K$5:$K$204,0)),"")</x:f>
      </x:c>
      <x:c r="B180" s="20" t="str">
        <x:f>IFERROR(INDEX('VIP Signups'!D$5:D$204,MATCH(ROWS($A$5:A180),'VIP Signups'!$K$5:$K$204,0)),"")</x:f>
      </x:c>
      <x:c r="C180" s="19" t="str">
        <x:f>IFERROR(INDEX('VIP Signups'!F$5:F$204,MATCH(ROWS($A$5:A180),'VIP Signups'!$K$5:$K$204,0)),"")</x:f>
      </x:c>
      <x:c r="D180" s="19" t="str">
        <x:f>IFERROR(INDEX('VIP Signups'!G$5:G$204,MATCH(ROWS($A$5:A180),'VIP Signups'!$K$5:$K$204,0)),"")</x:f>
      </x:c>
      <x:c r="E180" s="19" t="str">
        <x:f>IFERROR(INDEX('VIP Signups'!C$5:C$204,MATCH(ROWS($A$5:A180),'VIP Signups'!$K$5:$K$204,0)),"")</x:f>
      </x:c>
      <x:c r="F180" s="19" t="str">
        <x:f>IFERROR(INDEX('VIP Signups'!E$5:E$204,MATCH(ROWS($A$5:A180),'VIP Signups'!$K$5:$K$204,0)),"")</x:f>
      </x:c>
      <x:c r="G180" s="19" t="str">
        <x:f>IFERROR(INDEX('VIP Signups'!H$5:H$204,MATCH(ROWS($A$5:A180),'VIP Signups'!$K$5:$K$204,0)),"")</x:f>
      </x:c>
    </x:row>
    <x:row r="181">
      <x:c r="A181" s="19" t="str">
        <x:f>IFERROR(INDEX('VIP Signups'!A$5:A$204,MATCH(ROWS($A$5:A181),'VIP Signups'!$K$5:$K$204,0)),"")</x:f>
      </x:c>
      <x:c r="B181" s="20" t="str">
        <x:f>IFERROR(INDEX('VIP Signups'!D$5:D$204,MATCH(ROWS($A$5:A181),'VIP Signups'!$K$5:$K$204,0)),"")</x:f>
      </x:c>
      <x:c r="C181" s="19" t="str">
        <x:f>IFERROR(INDEX('VIP Signups'!F$5:F$204,MATCH(ROWS($A$5:A181),'VIP Signups'!$K$5:$K$204,0)),"")</x:f>
      </x:c>
      <x:c r="D181" s="19" t="str">
        <x:f>IFERROR(INDEX('VIP Signups'!G$5:G$204,MATCH(ROWS($A$5:A181),'VIP Signups'!$K$5:$K$204,0)),"")</x:f>
      </x:c>
      <x:c r="E181" s="19" t="str">
        <x:f>IFERROR(INDEX('VIP Signups'!C$5:C$204,MATCH(ROWS($A$5:A181),'VIP Signups'!$K$5:$K$204,0)),"")</x:f>
      </x:c>
      <x:c r="F181" s="19" t="str">
        <x:f>IFERROR(INDEX('VIP Signups'!E$5:E$204,MATCH(ROWS($A$5:A181),'VIP Signups'!$K$5:$K$204,0)),"")</x:f>
      </x:c>
      <x:c r="G181" s="19" t="str">
        <x:f>IFERROR(INDEX('VIP Signups'!H$5:H$204,MATCH(ROWS($A$5:A181),'VIP Signups'!$K$5:$K$204,0)),"")</x:f>
      </x:c>
    </x:row>
    <x:row r="182">
      <x:c r="A182" s="19" t="str">
        <x:f>IFERROR(INDEX('VIP Signups'!A$5:A$204,MATCH(ROWS($A$5:A182),'VIP Signups'!$K$5:$K$204,0)),"")</x:f>
      </x:c>
      <x:c r="B182" s="20" t="str">
        <x:f>IFERROR(INDEX('VIP Signups'!D$5:D$204,MATCH(ROWS($A$5:A182),'VIP Signups'!$K$5:$K$204,0)),"")</x:f>
      </x:c>
      <x:c r="C182" s="19" t="str">
        <x:f>IFERROR(INDEX('VIP Signups'!F$5:F$204,MATCH(ROWS($A$5:A182),'VIP Signups'!$K$5:$K$204,0)),"")</x:f>
      </x:c>
      <x:c r="D182" s="19" t="str">
        <x:f>IFERROR(INDEX('VIP Signups'!G$5:G$204,MATCH(ROWS($A$5:A182),'VIP Signups'!$K$5:$K$204,0)),"")</x:f>
      </x:c>
      <x:c r="E182" s="19" t="str">
        <x:f>IFERROR(INDEX('VIP Signups'!C$5:C$204,MATCH(ROWS($A$5:A182),'VIP Signups'!$K$5:$K$204,0)),"")</x:f>
      </x:c>
      <x:c r="F182" s="19" t="str">
        <x:f>IFERROR(INDEX('VIP Signups'!E$5:E$204,MATCH(ROWS($A$5:A182),'VIP Signups'!$K$5:$K$204,0)),"")</x:f>
      </x:c>
      <x:c r="G182" s="19" t="str">
        <x:f>IFERROR(INDEX('VIP Signups'!H$5:H$204,MATCH(ROWS($A$5:A182),'VIP Signups'!$K$5:$K$204,0)),"")</x:f>
      </x:c>
    </x:row>
    <x:row r="183">
      <x:c r="A183" s="19" t="str">
        <x:f>IFERROR(INDEX('VIP Signups'!A$5:A$204,MATCH(ROWS($A$5:A183),'VIP Signups'!$K$5:$K$204,0)),"")</x:f>
      </x:c>
      <x:c r="B183" s="20" t="str">
        <x:f>IFERROR(INDEX('VIP Signups'!D$5:D$204,MATCH(ROWS($A$5:A183),'VIP Signups'!$K$5:$K$204,0)),"")</x:f>
      </x:c>
      <x:c r="C183" s="19" t="str">
        <x:f>IFERROR(INDEX('VIP Signups'!F$5:F$204,MATCH(ROWS($A$5:A183),'VIP Signups'!$K$5:$K$204,0)),"")</x:f>
      </x:c>
      <x:c r="D183" s="19" t="str">
        <x:f>IFERROR(INDEX('VIP Signups'!G$5:G$204,MATCH(ROWS($A$5:A183),'VIP Signups'!$K$5:$K$204,0)),"")</x:f>
      </x:c>
      <x:c r="E183" s="19" t="str">
        <x:f>IFERROR(INDEX('VIP Signups'!C$5:C$204,MATCH(ROWS($A$5:A183),'VIP Signups'!$K$5:$K$204,0)),"")</x:f>
      </x:c>
      <x:c r="F183" s="19" t="str">
        <x:f>IFERROR(INDEX('VIP Signups'!E$5:E$204,MATCH(ROWS($A$5:A183),'VIP Signups'!$K$5:$K$204,0)),"")</x:f>
      </x:c>
      <x:c r="G183" s="19" t="str">
        <x:f>IFERROR(INDEX('VIP Signups'!H$5:H$204,MATCH(ROWS($A$5:A183),'VIP Signups'!$K$5:$K$204,0)),"")</x:f>
      </x:c>
    </x:row>
    <x:row r="184">
      <x:c r="A184" s="19" t="str">
        <x:f>IFERROR(INDEX('VIP Signups'!A$5:A$204,MATCH(ROWS($A$5:A184),'VIP Signups'!$K$5:$K$204,0)),"")</x:f>
      </x:c>
      <x:c r="B184" s="20" t="str">
        <x:f>IFERROR(INDEX('VIP Signups'!D$5:D$204,MATCH(ROWS($A$5:A184),'VIP Signups'!$K$5:$K$204,0)),"")</x:f>
      </x:c>
      <x:c r="C184" s="19" t="str">
        <x:f>IFERROR(INDEX('VIP Signups'!F$5:F$204,MATCH(ROWS($A$5:A184),'VIP Signups'!$K$5:$K$204,0)),"")</x:f>
      </x:c>
      <x:c r="D184" s="19" t="str">
        <x:f>IFERROR(INDEX('VIP Signups'!G$5:G$204,MATCH(ROWS($A$5:A184),'VIP Signups'!$K$5:$K$204,0)),"")</x:f>
      </x:c>
      <x:c r="E184" s="19" t="str">
        <x:f>IFERROR(INDEX('VIP Signups'!C$5:C$204,MATCH(ROWS($A$5:A184),'VIP Signups'!$K$5:$K$204,0)),"")</x:f>
      </x:c>
      <x:c r="F184" s="19" t="str">
        <x:f>IFERROR(INDEX('VIP Signups'!E$5:E$204,MATCH(ROWS($A$5:A184),'VIP Signups'!$K$5:$K$204,0)),"")</x:f>
      </x:c>
      <x:c r="G184" s="19" t="str">
        <x:f>IFERROR(INDEX('VIP Signups'!H$5:H$204,MATCH(ROWS($A$5:A184),'VIP Signups'!$K$5:$K$204,0)),"")</x:f>
      </x:c>
    </x:row>
    <x:row r="185">
      <x:c r="A185" s="19" t="str">
        <x:f>IFERROR(INDEX('VIP Signups'!A$5:A$204,MATCH(ROWS($A$5:A185),'VIP Signups'!$K$5:$K$204,0)),"")</x:f>
      </x:c>
      <x:c r="B185" s="20" t="str">
        <x:f>IFERROR(INDEX('VIP Signups'!D$5:D$204,MATCH(ROWS($A$5:A185),'VIP Signups'!$K$5:$K$204,0)),"")</x:f>
      </x:c>
      <x:c r="C185" s="19" t="str">
        <x:f>IFERROR(INDEX('VIP Signups'!F$5:F$204,MATCH(ROWS($A$5:A185),'VIP Signups'!$K$5:$K$204,0)),"")</x:f>
      </x:c>
      <x:c r="D185" s="19" t="str">
        <x:f>IFERROR(INDEX('VIP Signups'!G$5:G$204,MATCH(ROWS($A$5:A185),'VIP Signups'!$K$5:$K$204,0)),"")</x:f>
      </x:c>
      <x:c r="E185" s="19" t="str">
        <x:f>IFERROR(INDEX('VIP Signups'!C$5:C$204,MATCH(ROWS($A$5:A185),'VIP Signups'!$K$5:$K$204,0)),"")</x:f>
      </x:c>
      <x:c r="F185" s="19" t="str">
        <x:f>IFERROR(INDEX('VIP Signups'!E$5:E$204,MATCH(ROWS($A$5:A185),'VIP Signups'!$K$5:$K$204,0)),"")</x:f>
      </x:c>
      <x:c r="G185" s="19" t="str">
        <x:f>IFERROR(INDEX('VIP Signups'!H$5:H$204,MATCH(ROWS($A$5:A185),'VIP Signups'!$K$5:$K$204,0)),"")</x:f>
      </x:c>
    </x:row>
    <x:row r="186">
      <x:c r="A186" s="19" t="str">
        <x:f>IFERROR(INDEX('VIP Signups'!A$5:A$204,MATCH(ROWS($A$5:A186),'VIP Signups'!$K$5:$K$204,0)),"")</x:f>
      </x:c>
      <x:c r="B186" s="20" t="str">
        <x:f>IFERROR(INDEX('VIP Signups'!D$5:D$204,MATCH(ROWS($A$5:A186),'VIP Signups'!$K$5:$K$204,0)),"")</x:f>
      </x:c>
      <x:c r="C186" s="19" t="str">
        <x:f>IFERROR(INDEX('VIP Signups'!F$5:F$204,MATCH(ROWS($A$5:A186),'VIP Signups'!$K$5:$K$204,0)),"")</x:f>
      </x:c>
      <x:c r="D186" s="19" t="str">
        <x:f>IFERROR(INDEX('VIP Signups'!G$5:G$204,MATCH(ROWS($A$5:A186),'VIP Signups'!$K$5:$K$204,0)),"")</x:f>
      </x:c>
      <x:c r="E186" s="19" t="str">
        <x:f>IFERROR(INDEX('VIP Signups'!C$5:C$204,MATCH(ROWS($A$5:A186),'VIP Signups'!$K$5:$K$204,0)),"")</x:f>
      </x:c>
      <x:c r="F186" s="19" t="str">
        <x:f>IFERROR(INDEX('VIP Signups'!E$5:E$204,MATCH(ROWS($A$5:A186),'VIP Signups'!$K$5:$K$204,0)),"")</x:f>
      </x:c>
      <x:c r="G186" s="19" t="str">
        <x:f>IFERROR(INDEX('VIP Signups'!H$5:H$204,MATCH(ROWS($A$5:A186),'VIP Signups'!$K$5:$K$204,0)),"")</x:f>
      </x:c>
    </x:row>
    <x:row r="187">
      <x:c r="A187" s="19" t="str">
        <x:f>IFERROR(INDEX('VIP Signups'!A$5:A$204,MATCH(ROWS($A$5:A187),'VIP Signups'!$K$5:$K$204,0)),"")</x:f>
      </x:c>
      <x:c r="B187" s="20" t="str">
        <x:f>IFERROR(INDEX('VIP Signups'!D$5:D$204,MATCH(ROWS($A$5:A187),'VIP Signups'!$K$5:$K$204,0)),"")</x:f>
      </x:c>
      <x:c r="C187" s="19" t="str">
        <x:f>IFERROR(INDEX('VIP Signups'!F$5:F$204,MATCH(ROWS($A$5:A187),'VIP Signups'!$K$5:$K$204,0)),"")</x:f>
      </x:c>
      <x:c r="D187" s="19" t="str">
        <x:f>IFERROR(INDEX('VIP Signups'!G$5:G$204,MATCH(ROWS($A$5:A187),'VIP Signups'!$K$5:$K$204,0)),"")</x:f>
      </x:c>
      <x:c r="E187" s="19" t="str">
        <x:f>IFERROR(INDEX('VIP Signups'!C$5:C$204,MATCH(ROWS($A$5:A187),'VIP Signups'!$K$5:$K$204,0)),"")</x:f>
      </x:c>
      <x:c r="F187" s="19" t="str">
        <x:f>IFERROR(INDEX('VIP Signups'!E$5:E$204,MATCH(ROWS($A$5:A187),'VIP Signups'!$K$5:$K$204,0)),"")</x:f>
      </x:c>
      <x:c r="G187" s="19" t="str">
        <x:f>IFERROR(INDEX('VIP Signups'!H$5:H$204,MATCH(ROWS($A$5:A187),'VIP Signups'!$K$5:$K$204,0)),"")</x:f>
      </x:c>
    </x:row>
    <x:row r="188">
      <x:c r="A188" s="19" t="str">
        <x:f>IFERROR(INDEX('VIP Signups'!A$5:A$204,MATCH(ROWS($A$5:A188),'VIP Signups'!$K$5:$K$204,0)),"")</x:f>
      </x:c>
      <x:c r="B188" s="20" t="str">
        <x:f>IFERROR(INDEX('VIP Signups'!D$5:D$204,MATCH(ROWS($A$5:A188),'VIP Signups'!$K$5:$K$204,0)),"")</x:f>
      </x:c>
      <x:c r="C188" s="19" t="str">
        <x:f>IFERROR(INDEX('VIP Signups'!F$5:F$204,MATCH(ROWS($A$5:A188),'VIP Signups'!$K$5:$K$204,0)),"")</x:f>
      </x:c>
      <x:c r="D188" s="19" t="str">
        <x:f>IFERROR(INDEX('VIP Signups'!G$5:G$204,MATCH(ROWS($A$5:A188),'VIP Signups'!$K$5:$K$204,0)),"")</x:f>
      </x:c>
      <x:c r="E188" s="19" t="str">
        <x:f>IFERROR(INDEX('VIP Signups'!C$5:C$204,MATCH(ROWS($A$5:A188),'VIP Signups'!$K$5:$K$204,0)),"")</x:f>
      </x:c>
      <x:c r="F188" s="19" t="str">
        <x:f>IFERROR(INDEX('VIP Signups'!E$5:E$204,MATCH(ROWS($A$5:A188),'VIP Signups'!$K$5:$K$204,0)),"")</x:f>
      </x:c>
      <x:c r="G188" s="19" t="str">
        <x:f>IFERROR(INDEX('VIP Signups'!H$5:H$204,MATCH(ROWS($A$5:A188),'VIP Signups'!$K$5:$K$204,0)),"")</x:f>
      </x:c>
    </x:row>
    <x:row r="189">
      <x:c r="A189" s="19" t="str">
        <x:f>IFERROR(INDEX('VIP Signups'!A$5:A$204,MATCH(ROWS($A$5:A189),'VIP Signups'!$K$5:$K$204,0)),"")</x:f>
      </x:c>
      <x:c r="B189" s="20" t="str">
        <x:f>IFERROR(INDEX('VIP Signups'!D$5:D$204,MATCH(ROWS($A$5:A189),'VIP Signups'!$K$5:$K$204,0)),"")</x:f>
      </x:c>
      <x:c r="C189" s="19" t="str">
        <x:f>IFERROR(INDEX('VIP Signups'!F$5:F$204,MATCH(ROWS($A$5:A189),'VIP Signups'!$K$5:$K$204,0)),"")</x:f>
      </x:c>
      <x:c r="D189" s="19" t="str">
        <x:f>IFERROR(INDEX('VIP Signups'!G$5:G$204,MATCH(ROWS($A$5:A189),'VIP Signups'!$K$5:$K$204,0)),"")</x:f>
      </x:c>
      <x:c r="E189" s="19" t="str">
        <x:f>IFERROR(INDEX('VIP Signups'!C$5:C$204,MATCH(ROWS($A$5:A189),'VIP Signups'!$K$5:$K$204,0)),"")</x:f>
      </x:c>
      <x:c r="F189" s="19" t="str">
        <x:f>IFERROR(INDEX('VIP Signups'!E$5:E$204,MATCH(ROWS($A$5:A189),'VIP Signups'!$K$5:$K$204,0)),"")</x:f>
      </x:c>
      <x:c r="G189" s="19" t="str">
        <x:f>IFERROR(INDEX('VIP Signups'!H$5:H$204,MATCH(ROWS($A$5:A189),'VIP Signups'!$K$5:$K$204,0)),"")</x:f>
      </x:c>
    </x:row>
    <x:row r="190">
      <x:c r="A190" s="19" t="str">
        <x:f>IFERROR(INDEX('VIP Signups'!A$5:A$204,MATCH(ROWS($A$5:A190),'VIP Signups'!$K$5:$K$204,0)),"")</x:f>
      </x:c>
      <x:c r="B190" s="20" t="str">
        <x:f>IFERROR(INDEX('VIP Signups'!D$5:D$204,MATCH(ROWS($A$5:A190),'VIP Signups'!$K$5:$K$204,0)),"")</x:f>
      </x:c>
      <x:c r="C190" s="19" t="str">
        <x:f>IFERROR(INDEX('VIP Signups'!F$5:F$204,MATCH(ROWS($A$5:A190),'VIP Signups'!$K$5:$K$204,0)),"")</x:f>
      </x:c>
      <x:c r="D190" s="19" t="str">
        <x:f>IFERROR(INDEX('VIP Signups'!G$5:G$204,MATCH(ROWS($A$5:A190),'VIP Signups'!$K$5:$K$204,0)),"")</x:f>
      </x:c>
      <x:c r="E190" s="19" t="str">
        <x:f>IFERROR(INDEX('VIP Signups'!C$5:C$204,MATCH(ROWS($A$5:A190),'VIP Signups'!$K$5:$K$204,0)),"")</x:f>
      </x:c>
      <x:c r="F190" s="19" t="str">
        <x:f>IFERROR(INDEX('VIP Signups'!E$5:E$204,MATCH(ROWS($A$5:A190),'VIP Signups'!$K$5:$K$204,0)),"")</x:f>
      </x:c>
      <x:c r="G190" s="19" t="str">
        <x:f>IFERROR(INDEX('VIP Signups'!H$5:H$204,MATCH(ROWS($A$5:A190),'VIP Signups'!$K$5:$K$204,0)),"")</x:f>
      </x:c>
    </x:row>
    <x:row r="191">
      <x:c r="A191" s="19" t="str">
        <x:f>IFERROR(INDEX('VIP Signups'!A$5:A$204,MATCH(ROWS($A$5:A191),'VIP Signups'!$K$5:$K$204,0)),"")</x:f>
      </x:c>
      <x:c r="B191" s="20" t="str">
        <x:f>IFERROR(INDEX('VIP Signups'!D$5:D$204,MATCH(ROWS($A$5:A191),'VIP Signups'!$K$5:$K$204,0)),"")</x:f>
      </x:c>
      <x:c r="C191" s="19" t="str">
        <x:f>IFERROR(INDEX('VIP Signups'!F$5:F$204,MATCH(ROWS($A$5:A191),'VIP Signups'!$K$5:$K$204,0)),"")</x:f>
      </x:c>
      <x:c r="D191" s="19" t="str">
        <x:f>IFERROR(INDEX('VIP Signups'!G$5:G$204,MATCH(ROWS($A$5:A191),'VIP Signups'!$K$5:$K$204,0)),"")</x:f>
      </x:c>
      <x:c r="E191" s="19" t="str">
        <x:f>IFERROR(INDEX('VIP Signups'!C$5:C$204,MATCH(ROWS($A$5:A191),'VIP Signups'!$K$5:$K$204,0)),"")</x:f>
      </x:c>
      <x:c r="F191" s="19" t="str">
        <x:f>IFERROR(INDEX('VIP Signups'!E$5:E$204,MATCH(ROWS($A$5:A191),'VIP Signups'!$K$5:$K$204,0)),"")</x:f>
      </x:c>
      <x:c r="G191" s="19" t="str">
        <x:f>IFERROR(INDEX('VIP Signups'!H$5:H$204,MATCH(ROWS($A$5:A191),'VIP Signups'!$K$5:$K$204,0)),"")</x:f>
      </x:c>
    </x:row>
    <x:row r="192">
      <x:c r="A192" s="19" t="str">
        <x:f>IFERROR(INDEX('VIP Signups'!A$5:A$204,MATCH(ROWS($A$5:A192),'VIP Signups'!$K$5:$K$204,0)),"")</x:f>
      </x:c>
      <x:c r="B192" s="20" t="str">
        <x:f>IFERROR(INDEX('VIP Signups'!D$5:D$204,MATCH(ROWS($A$5:A192),'VIP Signups'!$K$5:$K$204,0)),"")</x:f>
      </x:c>
      <x:c r="C192" s="19" t="str">
        <x:f>IFERROR(INDEX('VIP Signups'!F$5:F$204,MATCH(ROWS($A$5:A192),'VIP Signups'!$K$5:$K$204,0)),"")</x:f>
      </x:c>
      <x:c r="D192" s="19" t="str">
        <x:f>IFERROR(INDEX('VIP Signups'!G$5:G$204,MATCH(ROWS($A$5:A192),'VIP Signups'!$K$5:$K$204,0)),"")</x:f>
      </x:c>
      <x:c r="E192" s="19" t="str">
        <x:f>IFERROR(INDEX('VIP Signups'!C$5:C$204,MATCH(ROWS($A$5:A192),'VIP Signups'!$K$5:$K$204,0)),"")</x:f>
      </x:c>
      <x:c r="F192" s="19" t="str">
        <x:f>IFERROR(INDEX('VIP Signups'!E$5:E$204,MATCH(ROWS($A$5:A192),'VIP Signups'!$K$5:$K$204,0)),"")</x:f>
      </x:c>
      <x:c r="G192" s="19" t="str">
        <x:f>IFERROR(INDEX('VIP Signups'!H$5:H$204,MATCH(ROWS($A$5:A192),'VIP Signups'!$K$5:$K$204,0)),"")</x:f>
      </x:c>
    </x:row>
    <x:row r="193">
      <x:c r="A193" s="19" t="str">
        <x:f>IFERROR(INDEX('VIP Signups'!A$5:A$204,MATCH(ROWS($A$5:A193),'VIP Signups'!$K$5:$K$204,0)),"")</x:f>
      </x:c>
      <x:c r="B193" s="20" t="str">
        <x:f>IFERROR(INDEX('VIP Signups'!D$5:D$204,MATCH(ROWS($A$5:A193),'VIP Signups'!$K$5:$K$204,0)),"")</x:f>
      </x:c>
      <x:c r="C193" s="19" t="str">
        <x:f>IFERROR(INDEX('VIP Signups'!F$5:F$204,MATCH(ROWS($A$5:A193),'VIP Signups'!$K$5:$K$204,0)),"")</x:f>
      </x:c>
      <x:c r="D193" s="19" t="str">
        <x:f>IFERROR(INDEX('VIP Signups'!G$5:G$204,MATCH(ROWS($A$5:A193),'VIP Signups'!$K$5:$K$204,0)),"")</x:f>
      </x:c>
      <x:c r="E193" s="19" t="str">
        <x:f>IFERROR(INDEX('VIP Signups'!C$5:C$204,MATCH(ROWS($A$5:A193),'VIP Signups'!$K$5:$K$204,0)),"")</x:f>
      </x:c>
      <x:c r="F193" s="19" t="str">
        <x:f>IFERROR(INDEX('VIP Signups'!E$5:E$204,MATCH(ROWS($A$5:A193),'VIP Signups'!$K$5:$K$204,0)),"")</x:f>
      </x:c>
      <x:c r="G193" s="19" t="str">
        <x:f>IFERROR(INDEX('VIP Signups'!H$5:H$204,MATCH(ROWS($A$5:A193),'VIP Signups'!$K$5:$K$204,0)),"")</x:f>
      </x:c>
    </x:row>
    <x:row r="194">
      <x:c r="A194" s="19" t="str">
        <x:f>IFERROR(INDEX('VIP Signups'!A$5:A$204,MATCH(ROWS($A$5:A194),'VIP Signups'!$K$5:$K$204,0)),"")</x:f>
      </x:c>
      <x:c r="B194" s="20" t="str">
        <x:f>IFERROR(INDEX('VIP Signups'!D$5:D$204,MATCH(ROWS($A$5:A194),'VIP Signups'!$K$5:$K$204,0)),"")</x:f>
      </x:c>
      <x:c r="C194" s="19" t="str">
        <x:f>IFERROR(INDEX('VIP Signups'!F$5:F$204,MATCH(ROWS($A$5:A194),'VIP Signups'!$K$5:$K$204,0)),"")</x:f>
      </x:c>
      <x:c r="D194" s="19" t="str">
        <x:f>IFERROR(INDEX('VIP Signups'!G$5:G$204,MATCH(ROWS($A$5:A194),'VIP Signups'!$K$5:$K$204,0)),"")</x:f>
      </x:c>
      <x:c r="E194" s="19" t="str">
        <x:f>IFERROR(INDEX('VIP Signups'!C$5:C$204,MATCH(ROWS($A$5:A194),'VIP Signups'!$K$5:$K$204,0)),"")</x:f>
      </x:c>
      <x:c r="F194" s="19" t="str">
        <x:f>IFERROR(INDEX('VIP Signups'!E$5:E$204,MATCH(ROWS($A$5:A194),'VIP Signups'!$K$5:$K$204,0)),"")</x:f>
      </x:c>
      <x:c r="G194" s="19" t="str">
        <x:f>IFERROR(INDEX('VIP Signups'!H$5:H$204,MATCH(ROWS($A$5:A194),'VIP Signups'!$K$5:$K$204,0)),"")</x:f>
      </x:c>
    </x:row>
    <x:row r="195">
      <x:c r="A195" s="19" t="str">
        <x:f>IFERROR(INDEX('VIP Signups'!A$5:A$204,MATCH(ROWS($A$5:A195),'VIP Signups'!$K$5:$K$204,0)),"")</x:f>
      </x:c>
      <x:c r="B195" s="20" t="str">
        <x:f>IFERROR(INDEX('VIP Signups'!D$5:D$204,MATCH(ROWS($A$5:A195),'VIP Signups'!$K$5:$K$204,0)),"")</x:f>
      </x:c>
      <x:c r="C195" s="19" t="str">
        <x:f>IFERROR(INDEX('VIP Signups'!F$5:F$204,MATCH(ROWS($A$5:A195),'VIP Signups'!$K$5:$K$204,0)),"")</x:f>
      </x:c>
      <x:c r="D195" s="19" t="str">
        <x:f>IFERROR(INDEX('VIP Signups'!G$5:G$204,MATCH(ROWS($A$5:A195),'VIP Signups'!$K$5:$K$204,0)),"")</x:f>
      </x:c>
      <x:c r="E195" s="19" t="str">
        <x:f>IFERROR(INDEX('VIP Signups'!C$5:C$204,MATCH(ROWS($A$5:A195),'VIP Signups'!$K$5:$K$204,0)),"")</x:f>
      </x:c>
      <x:c r="F195" s="19" t="str">
        <x:f>IFERROR(INDEX('VIP Signups'!E$5:E$204,MATCH(ROWS($A$5:A195),'VIP Signups'!$K$5:$K$204,0)),"")</x:f>
      </x:c>
      <x:c r="G195" s="19" t="str">
        <x:f>IFERROR(INDEX('VIP Signups'!H$5:H$204,MATCH(ROWS($A$5:A195),'VIP Signups'!$K$5:$K$204,0)),"")</x:f>
      </x:c>
    </x:row>
    <x:row r="196">
      <x:c r="A196" s="19" t="str">
        <x:f>IFERROR(INDEX('VIP Signups'!A$5:A$204,MATCH(ROWS($A$5:A196),'VIP Signups'!$K$5:$K$204,0)),"")</x:f>
      </x:c>
      <x:c r="B196" s="20" t="str">
        <x:f>IFERROR(INDEX('VIP Signups'!D$5:D$204,MATCH(ROWS($A$5:A196),'VIP Signups'!$K$5:$K$204,0)),"")</x:f>
      </x:c>
      <x:c r="C196" s="19" t="str">
        <x:f>IFERROR(INDEX('VIP Signups'!F$5:F$204,MATCH(ROWS($A$5:A196),'VIP Signups'!$K$5:$K$204,0)),"")</x:f>
      </x:c>
      <x:c r="D196" s="19" t="str">
        <x:f>IFERROR(INDEX('VIP Signups'!G$5:G$204,MATCH(ROWS($A$5:A196),'VIP Signups'!$K$5:$K$204,0)),"")</x:f>
      </x:c>
      <x:c r="E196" s="19" t="str">
        <x:f>IFERROR(INDEX('VIP Signups'!C$5:C$204,MATCH(ROWS($A$5:A196),'VIP Signups'!$K$5:$K$204,0)),"")</x:f>
      </x:c>
      <x:c r="F196" s="19" t="str">
        <x:f>IFERROR(INDEX('VIP Signups'!E$5:E$204,MATCH(ROWS($A$5:A196),'VIP Signups'!$K$5:$K$204,0)),"")</x:f>
      </x:c>
      <x:c r="G196" s="19" t="str">
        <x:f>IFERROR(INDEX('VIP Signups'!H$5:H$204,MATCH(ROWS($A$5:A196),'VIP Signups'!$K$5:$K$204,0)),"")</x:f>
      </x:c>
    </x:row>
    <x:row r="197">
      <x:c r="A197" s="19" t="str">
        <x:f>IFERROR(INDEX('VIP Signups'!A$5:A$204,MATCH(ROWS($A$5:A197),'VIP Signups'!$K$5:$K$204,0)),"")</x:f>
      </x:c>
      <x:c r="B197" s="20" t="str">
        <x:f>IFERROR(INDEX('VIP Signups'!D$5:D$204,MATCH(ROWS($A$5:A197),'VIP Signups'!$K$5:$K$204,0)),"")</x:f>
      </x:c>
      <x:c r="C197" s="19" t="str">
        <x:f>IFERROR(INDEX('VIP Signups'!F$5:F$204,MATCH(ROWS($A$5:A197),'VIP Signups'!$K$5:$K$204,0)),"")</x:f>
      </x:c>
      <x:c r="D197" s="19" t="str">
        <x:f>IFERROR(INDEX('VIP Signups'!G$5:G$204,MATCH(ROWS($A$5:A197),'VIP Signups'!$K$5:$K$204,0)),"")</x:f>
      </x:c>
      <x:c r="E197" s="19" t="str">
        <x:f>IFERROR(INDEX('VIP Signups'!C$5:C$204,MATCH(ROWS($A$5:A197),'VIP Signups'!$K$5:$K$204,0)),"")</x:f>
      </x:c>
      <x:c r="F197" s="19" t="str">
        <x:f>IFERROR(INDEX('VIP Signups'!E$5:E$204,MATCH(ROWS($A$5:A197),'VIP Signups'!$K$5:$K$204,0)),"")</x:f>
      </x:c>
      <x:c r="G197" s="19" t="str">
        <x:f>IFERROR(INDEX('VIP Signups'!H$5:H$204,MATCH(ROWS($A$5:A197),'VIP Signups'!$K$5:$K$204,0)),"")</x:f>
      </x:c>
    </x:row>
    <x:row r="198">
      <x:c r="A198" s="19" t="str">
        <x:f>IFERROR(INDEX('VIP Signups'!A$5:A$204,MATCH(ROWS($A$5:A198),'VIP Signups'!$K$5:$K$204,0)),"")</x:f>
      </x:c>
      <x:c r="B198" s="20" t="str">
        <x:f>IFERROR(INDEX('VIP Signups'!D$5:D$204,MATCH(ROWS($A$5:A198),'VIP Signups'!$K$5:$K$204,0)),"")</x:f>
      </x:c>
      <x:c r="C198" s="19" t="str">
        <x:f>IFERROR(INDEX('VIP Signups'!F$5:F$204,MATCH(ROWS($A$5:A198),'VIP Signups'!$K$5:$K$204,0)),"")</x:f>
      </x:c>
      <x:c r="D198" s="19" t="str">
        <x:f>IFERROR(INDEX('VIP Signups'!G$5:G$204,MATCH(ROWS($A$5:A198),'VIP Signups'!$K$5:$K$204,0)),"")</x:f>
      </x:c>
      <x:c r="E198" s="19" t="str">
        <x:f>IFERROR(INDEX('VIP Signups'!C$5:C$204,MATCH(ROWS($A$5:A198),'VIP Signups'!$K$5:$K$204,0)),"")</x:f>
      </x:c>
      <x:c r="F198" s="19" t="str">
        <x:f>IFERROR(INDEX('VIP Signups'!E$5:E$204,MATCH(ROWS($A$5:A198),'VIP Signups'!$K$5:$K$204,0)),"")</x:f>
      </x:c>
      <x:c r="G198" s="19" t="str">
        <x:f>IFERROR(INDEX('VIP Signups'!H$5:H$204,MATCH(ROWS($A$5:A198),'VIP Signups'!$K$5:$K$204,0)),"")</x:f>
      </x:c>
    </x:row>
    <x:row r="199">
      <x:c r="A199" s="19" t="str">
        <x:f>IFERROR(INDEX('VIP Signups'!A$5:A$204,MATCH(ROWS($A$5:A199),'VIP Signups'!$K$5:$K$204,0)),"")</x:f>
      </x:c>
      <x:c r="B199" s="20" t="str">
        <x:f>IFERROR(INDEX('VIP Signups'!D$5:D$204,MATCH(ROWS($A$5:A199),'VIP Signups'!$K$5:$K$204,0)),"")</x:f>
      </x:c>
      <x:c r="C199" s="19" t="str">
        <x:f>IFERROR(INDEX('VIP Signups'!F$5:F$204,MATCH(ROWS($A$5:A199),'VIP Signups'!$K$5:$K$204,0)),"")</x:f>
      </x:c>
      <x:c r="D199" s="19" t="str">
        <x:f>IFERROR(INDEX('VIP Signups'!G$5:G$204,MATCH(ROWS($A$5:A199),'VIP Signups'!$K$5:$K$204,0)),"")</x:f>
      </x:c>
      <x:c r="E199" s="19" t="str">
        <x:f>IFERROR(INDEX('VIP Signups'!C$5:C$204,MATCH(ROWS($A$5:A199),'VIP Signups'!$K$5:$K$204,0)),"")</x:f>
      </x:c>
      <x:c r="F199" s="19" t="str">
        <x:f>IFERROR(INDEX('VIP Signups'!E$5:E$204,MATCH(ROWS($A$5:A199),'VIP Signups'!$K$5:$K$204,0)),"")</x:f>
      </x:c>
      <x:c r="G199" s="19" t="str">
        <x:f>IFERROR(INDEX('VIP Signups'!H$5:H$204,MATCH(ROWS($A$5:A199),'VIP Signups'!$K$5:$K$204,0)),"")</x:f>
      </x:c>
    </x:row>
    <x:row r="200">
      <x:c r="A200" s="19" t="str">
        <x:f>IFERROR(INDEX('VIP Signups'!A$5:A$204,MATCH(ROWS($A$5:A200),'VIP Signups'!$K$5:$K$204,0)),"")</x:f>
      </x:c>
      <x:c r="B200" s="20" t="str">
        <x:f>IFERROR(INDEX('VIP Signups'!D$5:D$204,MATCH(ROWS($A$5:A200),'VIP Signups'!$K$5:$K$204,0)),"")</x:f>
      </x:c>
      <x:c r="C200" s="19" t="str">
        <x:f>IFERROR(INDEX('VIP Signups'!F$5:F$204,MATCH(ROWS($A$5:A200),'VIP Signups'!$K$5:$K$204,0)),"")</x:f>
      </x:c>
      <x:c r="D200" s="19" t="str">
        <x:f>IFERROR(INDEX('VIP Signups'!G$5:G$204,MATCH(ROWS($A$5:A200),'VIP Signups'!$K$5:$K$204,0)),"")</x:f>
      </x:c>
      <x:c r="E200" s="19" t="str">
        <x:f>IFERROR(INDEX('VIP Signups'!C$5:C$204,MATCH(ROWS($A$5:A200),'VIP Signups'!$K$5:$K$204,0)),"")</x:f>
      </x:c>
      <x:c r="F200" s="19" t="str">
        <x:f>IFERROR(INDEX('VIP Signups'!E$5:E$204,MATCH(ROWS($A$5:A200),'VIP Signups'!$K$5:$K$204,0)),"")</x:f>
      </x:c>
      <x:c r="G200" s="19" t="str">
        <x:f>IFERROR(INDEX('VIP Signups'!H$5:H$204,MATCH(ROWS($A$5:A200),'VIP Signups'!$K$5:$K$204,0)),"")</x:f>
      </x:c>
    </x:row>
    <x:row r="201">
      <x:c r="A201" s="19" t="str">
        <x:f>IFERROR(INDEX('VIP Signups'!A$5:A$204,MATCH(ROWS($A$5:A201),'VIP Signups'!$K$5:$K$204,0)),"")</x:f>
      </x:c>
      <x:c r="B201" s="20" t="str">
        <x:f>IFERROR(INDEX('VIP Signups'!D$5:D$204,MATCH(ROWS($A$5:A201),'VIP Signups'!$K$5:$K$204,0)),"")</x:f>
      </x:c>
      <x:c r="C201" s="19" t="str">
        <x:f>IFERROR(INDEX('VIP Signups'!F$5:F$204,MATCH(ROWS($A$5:A201),'VIP Signups'!$K$5:$K$204,0)),"")</x:f>
      </x:c>
      <x:c r="D201" s="19" t="str">
        <x:f>IFERROR(INDEX('VIP Signups'!G$5:G$204,MATCH(ROWS($A$5:A201),'VIP Signups'!$K$5:$K$204,0)),"")</x:f>
      </x:c>
      <x:c r="E201" s="19" t="str">
        <x:f>IFERROR(INDEX('VIP Signups'!C$5:C$204,MATCH(ROWS($A$5:A201),'VIP Signups'!$K$5:$K$204,0)),"")</x:f>
      </x:c>
      <x:c r="F201" s="19" t="str">
        <x:f>IFERROR(INDEX('VIP Signups'!E$5:E$204,MATCH(ROWS($A$5:A201),'VIP Signups'!$K$5:$K$204,0)),"")</x:f>
      </x:c>
      <x:c r="G201" s="19" t="str">
        <x:f>IFERROR(INDEX('VIP Signups'!H$5:H$204,MATCH(ROWS($A$5:A201),'VIP Signups'!$K$5:$K$204,0)),"")</x:f>
      </x:c>
    </x:row>
    <x:row r="202">
      <x:c r="A202" s="19" t="str">
        <x:f>IFERROR(INDEX('VIP Signups'!A$5:A$204,MATCH(ROWS($A$5:A202),'VIP Signups'!$K$5:$K$204,0)),"")</x:f>
      </x:c>
      <x:c r="B202" s="20" t="str">
        <x:f>IFERROR(INDEX('VIP Signups'!D$5:D$204,MATCH(ROWS($A$5:A202),'VIP Signups'!$K$5:$K$204,0)),"")</x:f>
      </x:c>
      <x:c r="C202" s="19" t="str">
        <x:f>IFERROR(INDEX('VIP Signups'!F$5:F$204,MATCH(ROWS($A$5:A202),'VIP Signups'!$K$5:$K$204,0)),"")</x:f>
      </x:c>
      <x:c r="D202" s="19" t="str">
        <x:f>IFERROR(INDEX('VIP Signups'!G$5:G$204,MATCH(ROWS($A$5:A202),'VIP Signups'!$K$5:$K$204,0)),"")</x:f>
      </x:c>
      <x:c r="E202" s="19" t="str">
        <x:f>IFERROR(INDEX('VIP Signups'!C$5:C$204,MATCH(ROWS($A$5:A202),'VIP Signups'!$K$5:$K$204,0)),"")</x:f>
      </x:c>
      <x:c r="F202" s="19" t="str">
        <x:f>IFERROR(INDEX('VIP Signups'!E$5:E$204,MATCH(ROWS($A$5:A202),'VIP Signups'!$K$5:$K$204,0)),"")</x:f>
      </x:c>
      <x:c r="G202" s="19" t="str">
        <x:f>IFERROR(INDEX('VIP Signups'!H$5:H$204,MATCH(ROWS($A$5:A202),'VIP Signups'!$K$5:$K$204,0)),"")</x:f>
      </x:c>
    </x:row>
    <x:row r="203">
      <x:c r="A203" s="19" t="str">
        <x:f>IFERROR(INDEX('VIP Signups'!A$5:A$204,MATCH(ROWS($A$5:A203),'VIP Signups'!$K$5:$K$204,0)),"")</x:f>
      </x:c>
      <x:c r="B203" s="20" t="str">
        <x:f>IFERROR(INDEX('VIP Signups'!D$5:D$204,MATCH(ROWS($A$5:A203),'VIP Signups'!$K$5:$K$204,0)),"")</x:f>
      </x:c>
      <x:c r="C203" s="19" t="str">
        <x:f>IFERROR(INDEX('VIP Signups'!F$5:F$204,MATCH(ROWS($A$5:A203),'VIP Signups'!$K$5:$K$204,0)),"")</x:f>
      </x:c>
      <x:c r="D203" s="19" t="str">
        <x:f>IFERROR(INDEX('VIP Signups'!G$5:G$204,MATCH(ROWS($A$5:A203),'VIP Signups'!$K$5:$K$204,0)),"")</x:f>
      </x:c>
      <x:c r="E203" s="19" t="str">
        <x:f>IFERROR(INDEX('VIP Signups'!C$5:C$204,MATCH(ROWS($A$5:A203),'VIP Signups'!$K$5:$K$204,0)),"")</x:f>
      </x:c>
      <x:c r="F203" s="19" t="str">
        <x:f>IFERROR(INDEX('VIP Signups'!E$5:E$204,MATCH(ROWS($A$5:A203),'VIP Signups'!$K$5:$K$204,0)),"")</x:f>
      </x:c>
      <x:c r="G203" s="19" t="str">
        <x:f>IFERROR(INDEX('VIP Signups'!H$5:H$204,MATCH(ROWS($A$5:A203),'VIP Signups'!$K$5:$K$204,0)),"")</x:f>
      </x:c>
    </x:row>
    <x:row r="204">
      <x:c r="A204" s="19" t="str">
        <x:f>IFERROR(INDEX('VIP Signups'!A$5:A$204,MATCH(ROWS($A$5:A204),'VIP Signups'!$K$5:$K$204,0)),"")</x:f>
      </x:c>
      <x:c r="B204" s="20" t="str">
        <x:f>IFERROR(INDEX('VIP Signups'!D$5:D$204,MATCH(ROWS($A$5:A204),'VIP Signups'!$K$5:$K$204,0)),"")</x:f>
      </x:c>
      <x:c r="C204" s="19" t="str">
        <x:f>IFERROR(INDEX('VIP Signups'!F$5:F$204,MATCH(ROWS($A$5:A204),'VIP Signups'!$K$5:$K$204,0)),"")</x:f>
      </x:c>
      <x:c r="D204" s="19" t="str">
        <x:f>IFERROR(INDEX('VIP Signups'!G$5:G$204,MATCH(ROWS($A$5:A204),'VIP Signups'!$K$5:$K$204,0)),"")</x:f>
      </x:c>
      <x:c r="E204" s="19" t="str">
        <x:f>IFERROR(INDEX('VIP Signups'!C$5:C$204,MATCH(ROWS($A$5:A204),'VIP Signups'!$K$5:$K$204,0)),"")</x:f>
      </x:c>
      <x:c r="F204" s="19" t="str">
        <x:f>IFERROR(INDEX('VIP Signups'!E$5:E$204,MATCH(ROWS($A$5:A204),'VIP Signups'!$K$5:$K$204,0)),"")</x:f>
      </x:c>
      <x:c r="G204" s="19" t="str">
        <x:f>IFERROR(INDEX('VIP Signups'!H$5:H$204,MATCH(ROWS($A$5:A204),'VIP Signups'!$K$5:$K$204,0)),"")</x:f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81.25" hidden="0" customWidth="1"/>
    <x:col min="4" max="4" width="11.880000114440918" hidden="0" customWidth="1"/>
    <x:col min="5" max="5" width="11.880000114440918" hidden="0" customWidth="1"/>
    <x:col min="6" max="6" width="11.880000114440918" hidden="0" customWidth="1"/>
    <x:col min="7" max="7" width="32.5" hidden="0" customWidth="1"/>
  </x:cols>
  <x:sheetData>
    <x:row r="1">
      <x:c r="A1" s="4" t="str">
        <x:v>Setup Guide</x:v>
      </x:c>
      <x:c r="B1" s="4" t="str">
        <x:v>Setup Guide</x:v>
      </x:c>
      <x:c r="C1" s="4" t="str">
        <x:v>Setup Guide</x:v>
      </x:c>
      <x:c r="D1" s="4" t="str">
        <x:v>Setup Guide</x:v>
      </x:c>
      <x:c r="E1" s="4" t="str">
        <x:v>Setup Guide</x:v>
      </x:c>
      <x:c r="F1" s="4" t="str">
        <x:v>Setup Guide</x:v>
      </x:c>
      <x:c r="G1" s="4" t="str">
        <x:v>Setup Guide</x:v>
      </x:c>
      <x:c r="H1" s="4" t="str">
        <x:v>Setup Guide</x:v>
      </x:c>
      <x:c r="I1" s="32"/>
      <x:c r="J1" s="32"/>
      <x:c r="K1" s="32"/>
      <x:c r="L1" s="32"/>
      <x:c r="M1" s="32"/>
      <x:c r="N1" s="32"/>
      <x:c r="O1" s="32"/>
    </x:row>
    <x:row r="2">
      <x:c r="A2" s="9" t="str">
        <x:v>Use this workbook as a template. Copy it into Google Sheets, customize Lists, then publish Plugin Export as CSV.</x:v>
      </x:c>
      <x:c r="B2" s="9" t="str">
        <x:v>Use this workbook as a template. Copy it into Google Sheets, customize Lists, then publish Plugin Export as CSV.</x:v>
      </x:c>
      <x:c r="C2" s="9" t="str">
        <x:v>Use this workbook as a template. Copy it into Google Sheets, customize Lists, then publish Plugin Export as CSV.</x:v>
      </x:c>
      <x:c r="D2" s="9" t="str">
        <x:v>Use this workbook as a template. Copy it into Google Sheets, customize Lists, then publish Plugin Export as CSV.</x:v>
      </x:c>
      <x:c r="E2" s="9" t="str">
        <x:v>Use this workbook as a template. Copy it into Google Sheets, customize Lists, then publish Plugin Export as CSV.</x:v>
      </x:c>
      <x:c r="F2" s="9" t="str">
        <x:v>Use this workbook as a template. Copy it into Google Sheets, customize Lists, then publish Plugin Export as CSV.</x:v>
      </x:c>
      <x:c r="G2" s="9" t="str">
        <x:v>Use this workbook as a template. Copy it into Google Sheets, customize Lists, then publish Plugin Export as CSV.</x:v>
      </x:c>
      <x:c r="H2" s="9" t="str">
        <x:v>Use this workbook as a template. Copy it into Google Sheets, customize Lists, then publish Plugin Export as CSV.</x:v>
      </x:c>
    </x:row>
    <x:row r="4">
      <x:c r="A4" s="15" t="str">
        <x:v>Step</x:v>
      </x:c>
      <x:c r="B4" s="15" t="str">
        <x:v>What to do</x:v>
      </x:c>
      <x:c r="D4" s="24" t="str">
        <x:v>Recommended Plugin Columns</x:v>
      </x:c>
      <x:c r="E4" s="24" t="str"/>
      <x:c r="F4" s="24" t="str"/>
      <x:c r="G4" s="24" t="str"/>
      <x:c r="H4" s="24" t="str"/>
    </x:row>
    <x:row r="5">
      <x:c r="A5" s="19" t="n">
        <x:v>1</x:v>
      </x:c>
      <x:c r="B5" s="19" t="str">
        <x:v>Make a copy of this workbook in Google Sheets.</x:v>
      </x:c>
      <x:c r="D5" s="15" t="str">
        <x:v>Header</x:v>
      </x:c>
      <x:c r="E5" s="15" t="str">
        <x:v>CSV Col</x:v>
      </x:c>
      <x:c r="F5" s="15" t="str">
        <x:v>Width</x:v>
      </x:c>
      <x:c r="G5" s="15" t="str">
        <x:v>Purpose</x:v>
      </x:c>
      <x:c r="H5" t="str"/>
    </x:row>
    <x:row r="6">
      <x:c r="A6" s="19" t="n">
        <x:v>2</x:v>
      </x:c>
      <x:c r="B6" s="19" t="str">
        <x:v>Customize durations on the Lists tab: enter a Duration Name and numeric Days value. Rows 2-101 feed the dropdown.</x:v>
      </x:c>
      <x:c r="D6" s="19" t="str">
        <x:v>VIP Type</x:v>
      </x:c>
      <x:c r="E6" s="19" t="str">
        <x:v>C</x:v>
      </x:c>
      <x:c r="F6" s="19" t="n">
        <x:v>90</x:v>
      </x:c>
      <x:c r="G6" s="19" t="str">
        <x:v>Tier/category shown next to the VIP.</x:v>
      </x:c>
      <x:c r="H6" t="str"/>
    </x:row>
    <x:row r="7">
      <x:c r="A7" s="19" t="n">
        <x:v>3</x:v>
      </x:c>
      <x:c r="B7" s="19" t="str">
        <x:v>Enter VIPs on the VIP Signups tab. Character Name is the only field required by the plugin.</x:v>
      </x:c>
      <x:c r="D7" s="19" t="str">
        <x:v>Benefits</x:v>
      </x:c>
      <x:c r="E7" s="19" t="str">
        <x:v>D</x:v>
      </x:c>
      <x:c r="F7" s="19" t="n">
        <x:v>220</x:v>
      </x:c>
      <x:c r="G7" s="19" t="str">
        <x:v>Main benefits available to staff.</x:v>
      </x:c>
      <x:c r="H7" t="str"/>
    </x:row>
    <x:row r="8">
      <x:c r="A8" s="19" t="n">
        <x:v>4</x:v>
      </x:c>
      <x:c r="B8" s="19" t="str">
        <x:v>Choose a Duration. Expiration Date and Status calculate automatically from the Days value on Lists.</x:v>
      </x:c>
      <x:c r="D8" s="19" t="str">
        <x:v>Duration</x:v>
      </x:c>
      <x:c r="E8" s="19" t="str">
        <x:v>E</x:v>
      </x:c>
      <x:c r="F8" s="19" t="n">
        <x:v>90</x:v>
      </x:c>
      <x:c r="G8" s="19" t="str">
        <x:v>Membership length.</x:v>
      </x:c>
      <x:c r="H8" t="str"/>
    </x:row>
    <x:row r="9">
      <x:c r="A9" s="19" t="n">
        <x:v>5</x:v>
      </x:c>
      <x:c r="B9" s="19" t="str">
        <x:v>Use Benefits Available, VIP Type, and Notes as the visible info columns in the plugin range list.</x:v>
      </x:c>
      <x:c r="D9" s="19" t="str">
        <x:v>Status</x:v>
      </x:c>
      <x:c r="E9" s="19" t="str">
        <x:v>F</x:v>
      </x:c>
      <x:c r="F9" s="19" t="n">
        <x:v>100</x:v>
      </x:c>
      <x:c r="G9" s="19" t="str">
        <x:v>Active or expiring soon.</x:v>
      </x:c>
      <x:c r="H9" t="str"/>
    </x:row>
    <x:row r="10">
      <x:c r="A10" s="19" t="n">
        <x:v>6</x:v>
      </x:c>
      <x:c r="B10" s="19" t="str">
        <x:v>Publish only the Plugin Export tab to the web as CSV.</x:v>
      </x:c>
      <x:c r="D10" s="19" t="str">
        <x:v>Notes</x:v>
      </x:c>
      <x:c r="E10" s="19" t="str">
        <x:v>G</x:v>
      </x:c>
      <x:c r="F10" s="19" t="n">
        <x:v>220</x:v>
      </x:c>
      <x:c r="G10" s="19" t="str">
        <x:v>Short operational note.</x:v>
      </x:c>
      <x:c r="H10" t="str"/>
    </x:row>
    <x:row r="11">
      <x:c r="A11" s="19" t="n">
        <x:v>7</x:v>
      </x:c>
      <x:c r="B11" s="19" t="str">
        <x:v>Copy the spreadsheet ID into VIP Name Checker and reload the VIP list.</x:v>
      </x:c>
      <x:c r="D11" t="str"/>
      <x:c r="E11" t="str"/>
      <x:c r="F11" t="str"/>
      <x:c r="G11" t="str"/>
      <x:c r="H11" t="str"/>
    </x:row>
    <x:row r="12">
      <x:c r="A12" s="19" t="n">
        <x:v>8</x:v>
      </x:c>
      <x:c r="B12" s="19" t="str">
        <x:v>In the plugin column editor, use C for VIP Type, D for Benefits, E for Duration, F for Status, and G for Notes.</x:v>
      </x:c>
      <x:c r="D12" s="28" t="str">
        <x:v>Column A must stay Character Name. The plugin always uses column A for matching players.</x:v>
      </x:c>
      <x:c r="E12" s="28" t="str"/>
      <x:c r="F12" s="28" t="str"/>
      <x:c r="G12" s="28" t="str"/>
      <x:c r="H12" s="28" t="str"/>
    </x:row>
  </x:sheetData>
  <x:mergeCells>
    <x:mergeCell ref="A1:H1"/>
    <x:mergeCell ref="A2:H2"/>
    <x:mergeCell ref="D4:H4"/>
    <x:mergeCell ref="D12:H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8.75" hidden="0" customWidth="1"/>
    <x:col min="3" max="3" width="32.5" hidden="0" customWidth="1"/>
    <x:col min="4" max="4" width="23.75" hidden="0" customWidth="1"/>
    <x:col min="5" max="5" width="23.75" hidden="0" customWidth="1"/>
    <x:col min="6" max="6" width="23.75" hidden="0" customWidth="1"/>
    <x:col min="8" max="8" width="27.5" hidden="0" customWidth="1"/>
    <x:col min="9" max="9" width="27.5" hidden="0" customWidth="1"/>
    <x:col min="10" max="10" width="27.5" hidden="0" customWidth="1"/>
  </x:cols>
  <x:sheetData>
    <x:row r="1">
      <x:c r="A1" s="15" t="str">
        <x:v>Duration Name</x:v>
      </x:c>
      <x:c r="B1" s="33" t="str">
        <x:v>Days</x:v>
      </x:c>
      <x:c r="C1" s="33" t="str">
        <x:v>Description / Use</x:v>
      </x:c>
      <x:c r="D1" s="33" t="str">
        <x:v>VIP Types</x:v>
      </x:c>
      <x:c r="E1" s="33" t="str">
        <x:v>Benefits / Common Values</x:v>
      </x:c>
      <x:c r="F1" s="33" t="str">
        <x:v>Payment / Proof</x:v>
      </x:c>
      <x:c r="G1" s="32"/>
      <x:c r="H1" s="34" t="str">
        <x:v>Duration Setup</x:v>
      </x:c>
      <x:c r="I1" s="34" t="str"/>
      <x:c r="J1" s="34" t="str"/>
      <x:c r="K1" s="32"/>
      <x:c r="L1" s="32"/>
      <x:c r="M1" s="32"/>
      <x:c r="N1" s="32"/>
      <x:c r="O1" s="32"/>
    </x:row>
    <x:row r="2">
      <x:c r="A2" s="19" t="str">
        <x:v>Event Only</x:v>
      </x:c>
      <x:c r="B2" s="19" t="n">
        <x:v>0</x:v>
      </x:c>
      <x:c r="C2" s="19" t="str">
        <x:v>Same-day/event pass. Expires on signup date.</x:v>
      </x:c>
      <x:c r="D2" s="19" t="str">
        <x:v>Event</x:v>
      </x:c>
      <x:c r="E2" s="19" t="str">
        <x:v>Event Access</x:v>
      </x:c>
      <x:c r="F2" s="19" t="str">
        <x:v>Paid</x:v>
      </x:c>
      <x:c r="H2" s="30" t="str">
        <x:v>Edit Duration Name and Days to customize the dropdown.</x:v>
      </x:c>
      <x:c r="I2" s="30" t="str"/>
      <x:c r="J2" s="30" t="str"/>
    </x:row>
    <x:row r="3">
      <x:c r="A3" s="19" t="str">
        <x:v>Weekend Pass</x:v>
      </x:c>
      <x:c r="B3" s="19" t="n">
        <x:v>3</x:v>
      </x:c>
      <x:c r="C3" s="19" t="str">
        <x:v>Short weekend/event package.</x:v>
      </x:c>
      <x:c r="D3" s="19" t="str">
        <x:v>Bronze</x:v>
      </x:c>
      <x:c r="E3" s="19" t="str">
        <x:v>Queue Priority</x:v>
      </x:c>
      <x:c r="F3" s="19" t="str">
        <x:v>Comp</x:v>
      </x:c>
      <x:c r="H3" s="30" t="str">
        <x:v>Rows 2-101 feed VIP Signups &gt; Duration.</x:v>
      </x:c>
      <x:c r="I3" s="30" t="str"/>
      <x:c r="J3" s="30" t="str"/>
    </x:row>
    <x:row r="4">
      <x:c r="A4" s="19" t="str">
        <x:v>7 Days</x:v>
      </x:c>
      <x:c r="B4" s="19" t="n">
        <x:v>7</x:v>
      </x:c>
      <x:c r="C4" s="19" t="str">
        <x:v>One week.</x:v>
      </x:c>
      <x:c r="D4" s="19" t="str">
        <x:v>Silver</x:v>
      </x:c>
      <x:c r="E4" s="19" t="str">
        <x:v>Photo Slot</x:v>
      </x:c>
      <x:c r="F4" s="19" t="str">
        <x:v>Pending</x:v>
      </x:c>
      <x:c r="H4" s="30" t="str">
        <x:v>Days must be a number. Use 0 for Event Only.</x:v>
      </x:c>
      <x:c r="I4" s="30" t="str"/>
      <x:c r="J4" s="30" t="str"/>
    </x:row>
    <x:row r="5">
      <x:c r="A5" s="19" t="str">
        <x:v>14 Days</x:v>
      </x:c>
      <x:c r="B5" s="19" t="n">
        <x:v>14</x:v>
      </x:c>
      <x:c r="C5" s="19" t="str">
        <x:v>Two weeks.</x:v>
      </x:c>
      <x:c r="D5" s="19" t="str">
        <x:v>Gold</x:v>
      </x:c>
      <x:c r="E5" s="19" t="str">
        <x:v>Gamba Token</x:v>
      </x:c>
      <x:c r="F5" s="19" t="str">
        <x:v>Trade Verified</x:v>
      </x:c>
      <x:c r="H5" s="30" t="str">
        <x:v>Blank duration rows are ignored until you fill them.</x:v>
      </x:c>
      <x:c r="I5" s="30" t="str"/>
      <x:c r="J5" s="30" t="str"/>
    </x:row>
    <x:row r="6">
      <x:c r="A6" s="19" t="str">
        <x:v>30 Days</x:v>
      </x:c>
      <x:c r="B6" s="19" t="n">
        <x:v>30</x:v>
      </x:c>
      <x:c r="C6" s="19" t="str">
        <x:v>Standard monthly pass.</x:v>
      </x:c>
      <x:c r="D6" s="19" t="str">
        <x:v>Platinum</x:v>
      </x:c>
      <x:c r="E6" s="19" t="str">
        <x:v>Private Room</x:v>
      </x:c>
      <x:c r="F6" s="19" t="str">
        <x:v>Screenshot</x:v>
      </x:c>
      <x:c r="H6" s="30" t="str">
        <x:v>If Status shows Check Duration, add/fix the Days value.</x:v>
      </x:c>
      <x:c r="I6" s="30" t="str"/>
      <x:c r="J6" s="30" t="str"/>
    </x:row>
    <x:row r="7">
      <x:c r="A7" s="19" t="str">
        <x:v>60 Days</x:v>
      </x:c>
      <x:c r="B7" s="19" t="n">
        <x:v>60</x:v>
      </x:c>
      <x:c r="C7" s="19" t="str">
        <x:v>Two months.</x:v>
      </x:c>
      <x:c r="D7" s="19" t="str">
        <x:v>Custom</x:v>
      </x:c>
      <x:c r="E7" s="19" t="str">
        <x:v>Custom Benefit</x:v>
      </x:c>
      <x:c r="F7" s="19" t="str">
        <x:v>Other</x:v>
      </x:c>
    </x:row>
    <x:row r="8">
      <x:c r="A8" s="19" t="str">
        <x:v>90 Days</x:v>
      </x:c>
      <x:c r="B8" s="19" t="n">
        <x:v>90</x:v>
      </x:c>
      <x:c r="C8" s="19" t="str">
        <x:v>Three months.</x:v>
      </x:c>
      <x:c r="D8" s="19" t="str"/>
      <x:c r="E8" s="19" t="str">
        <x:v>Queue Priority; Photo Slot; Gamba Token</x:v>
      </x:c>
      <x:c r="F8" s="19" t="str"/>
    </x:row>
    <x:row r="9">
      <x:c r="A9" s="19" t="str">
        <x:v>Season Pass</x:v>
      </x:c>
      <x:c r="B9" s="19" t="n">
        <x:v>120</x:v>
      </x:c>
      <x:c r="C9" s="19" t="str">
        <x:v>Long seasonal membership.</x:v>
      </x:c>
      <x:c r="D9" s="19" t="str"/>
      <x:c r="E9" s="19" t="str"/>
      <x:c r="F9" s="19" t="str"/>
    </x:row>
    <x:row r="10">
      <x:c r="A10" s="19" t="str">
        <x:v>Lifetime</x:v>
      </x:c>
      <x:c r="B10" s="19" t="n">
        <x:v>36500</x:v>
      </x:c>
      <x:c r="C10" s="19" t="str">
        <x:v>Effectively non-expiring; adjust if your venue prefers another value.</x:v>
      </x:c>
      <x:c r="D10" s="19" t="str"/>
      <x:c r="E10" s="19" t="str"/>
      <x:c r="F10" s="19" t="str"/>
    </x:row>
    <x:row r="11">
      <x:c r="A11" s="19" t="str">
        <x:v>Custom Slot 1</x:v>
      </x:c>
      <x:c r="B11" s="19" t="n">
        <x:v>1</x:v>
      </x:c>
      <x:c r="C11" s="19" t="str">
        <x:v>Rename this row for your own package.</x:v>
      </x:c>
      <x:c r="D11" s="19" t="str"/>
      <x:c r="E11" s="19" t="str"/>
      <x:c r="F11" s="19" t="str"/>
    </x:row>
    <x:row r="12">
      <x:c r="A12" s="19" t="str">
        <x:v>Custom Slot 2</x:v>
      </x:c>
      <x:c r="B12" s="19" t="n">
        <x:v>1</x:v>
      </x:c>
      <x:c r="C12" s="19" t="str">
        <x:v>Rename this row for your own package.</x:v>
      </x:c>
      <x:c r="D12" s="19" t="str"/>
      <x:c r="E12" s="19" t="str"/>
      <x:c r="F12" s="19" t="str"/>
    </x:row>
    <x:row r="13">
      <x:c r="A13" s="19" t="str">
        <x:v>Custom Slot 3</x:v>
      </x:c>
      <x:c r="B13" s="19" t="n">
        <x:v>1</x:v>
      </x:c>
      <x:c r="C13" s="19" t="str">
        <x:v>Rename this row for your own package.</x:v>
      </x:c>
      <x:c r="D13" s="19" t="str"/>
      <x:c r="E13" s="19" t="str"/>
      <x:c r="F13" s="19" t="str"/>
    </x:row>
    <x:row r="14">
      <x:c r="A14" s="19"/>
      <x:c r="B14" s="19"/>
      <x:c r="C14" s="19"/>
      <x:c r="D14" s="19"/>
      <x:c r="E14" s="19"/>
      <x:c r="F14" s="19"/>
    </x:row>
    <x:row r="15">
      <x:c r="A15" s="19"/>
      <x:c r="B15" s="19"/>
      <x:c r="C15" s="19"/>
      <x:c r="D15" s="19"/>
      <x:c r="E15" s="19"/>
      <x:c r="F15" s="19"/>
    </x:row>
    <x:row r="16">
      <x:c r="A16" s="19"/>
      <x:c r="B16" s="19"/>
      <x:c r="C16" s="19"/>
      <x:c r="D16" s="19"/>
      <x:c r="E16" s="19"/>
      <x:c r="F16" s="19"/>
    </x:row>
    <x:row r="17">
      <x:c r="A17" s="19"/>
      <x:c r="B17" s="19"/>
      <x:c r="C17" s="19"/>
      <x:c r="D17" s="19"/>
      <x:c r="E17" s="19"/>
      <x:c r="F17" s="19"/>
    </x:row>
    <x:row r="18">
      <x:c r="A18" s="19"/>
      <x:c r="B18" s="19"/>
      <x:c r="C18" s="19"/>
      <x:c r="D18" s="19"/>
      <x:c r="E18" s="19"/>
      <x:c r="F18" s="19"/>
    </x:row>
    <x:row r="19">
      <x:c r="A19" s="19"/>
      <x:c r="B19" s="19"/>
      <x:c r="C19" s="19"/>
      <x:c r="D19" s="19"/>
      <x:c r="E19" s="19"/>
      <x:c r="F19" s="19"/>
    </x:row>
    <x:row r="20">
      <x:c r="A20" s="19"/>
      <x:c r="B20" s="19"/>
      <x:c r="C20" s="19"/>
      <x:c r="D20" s="19"/>
      <x:c r="E20" s="19"/>
      <x:c r="F20" s="19"/>
    </x:row>
    <x:row r="21">
      <x:c r="A21" s="19"/>
      <x:c r="B21" s="19"/>
      <x:c r="C21" s="19"/>
      <x:c r="D21" s="19"/>
      <x:c r="E21" s="19"/>
      <x:c r="F21" s="19"/>
    </x:row>
    <x:row r="22">
      <x:c r="A22" s="19"/>
      <x:c r="B22" s="19"/>
      <x:c r="C22" s="19"/>
      <x:c r="D22" s="19"/>
      <x:c r="E22" s="19"/>
      <x:c r="F22" s="19"/>
    </x:row>
    <x:row r="23">
      <x:c r="A23" s="19"/>
      <x:c r="B23" s="19"/>
      <x:c r="C23" s="19"/>
      <x:c r="D23" s="19"/>
      <x:c r="E23" s="19"/>
      <x:c r="F23" s="19"/>
    </x:row>
    <x:row r="24">
      <x:c r="A24" s="19"/>
      <x:c r="B24" s="19"/>
      <x:c r="C24" s="19"/>
      <x:c r="D24" s="19"/>
      <x:c r="E24" s="19"/>
      <x:c r="F24" s="19"/>
    </x:row>
    <x:row r="25">
      <x:c r="A25" s="19"/>
      <x:c r="B25" s="19"/>
      <x:c r="C25" s="19"/>
      <x:c r="D25" s="19"/>
      <x:c r="E25" s="19"/>
      <x:c r="F25" s="19"/>
    </x:row>
    <x:row r="26">
      <x:c r="A26" s="19"/>
      <x:c r="B26" s="19"/>
      <x:c r="C26" s="19"/>
      <x:c r="D26" s="19"/>
      <x:c r="E26" s="19"/>
      <x:c r="F26" s="19"/>
    </x:row>
    <x:row r="27">
      <x:c r="A27" s="19"/>
      <x:c r="B27" s="19"/>
      <x:c r="C27" s="19"/>
      <x:c r="D27" s="19"/>
      <x:c r="E27" s="19"/>
      <x:c r="F27" s="19"/>
    </x:row>
    <x:row r="28">
      <x:c r="A28" s="19"/>
      <x:c r="B28" s="19"/>
      <x:c r="C28" s="19"/>
      <x:c r="D28" s="19"/>
      <x:c r="E28" s="19"/>
      <x:c r="F28" s="19"/>
    </x:row>
    <x:row r="29">
      <x:c r="A29" s="19"/>
      <x:c r="B29" s="19"/>
      <x:c r="C29" s="19"/>
      <x:c r="D29" s="19"/>
      <x:c r="E29" s="19"/>
      <x:c r="F29" s="19"/>
    </x:row>
    <x:row r="30">
      <x:c r="A30" s="19"/>
      <x:c r="B30" s="19"/>
      <x:c r="C30" s="19"/>
      <x:c r="D30" s="19"/>
      <x:c r="E30" s="19"/>
      <x:c r="F30" s="19"/>
    </x:row>
    <x:row r="31">
      <x:c r="A31" s="19"/>
      <x:c r="B31" s="19"/>
      <x:c r="C31" s="19"/>
      <x:c r="D31" s="19"/>
      <x:c r="E31" s="19"/>
      <x:c r="F31" s="19"/>
    </x:row>
    <x:row r="32">
      <x:c r="A32" s="19"/>
      <x:c r="B32" s="19"/>
      <x:c r="C32" s="19"/>
      <x:c r="D32" s="19"/>
      <x:c r="E32" s="19"/>
      <x:c r="F32" s="19"/>
    </x:row>
    <x:row r="33">
      <x:c r="A33" s="19"/>
      <x:c r="B33" s="19"/>
      <x:c r="C33" s="19"/>
      <x:c r="D33" s="19"/>
      <x:c r="E33" s="19"/>
      <x:c r="F33" s="19"/>
    </x:row>
    <x:row r="34">
      <x:c r="A34" s="19"/>
      <x:c r="B34" s="19"/>
      <x:c r="C34" s="19"/>
      <x:c r="D34" s="19"/>
      <x:c r="E34" s="19"/>
      <x:c r="F34" s="19"/>
    </x:row>
    <x:row r="35">
      <x:c r="A35" s="19"/>
      <x:c r="B35" s="19"/>
      <x:c r="C35" s="19"/>
      <x:c r="D35" s="19"/>
      <x:c r="E35" s="19"/>
      <x:c r="F35" s="19"/>
    </x:row>
    <x:row r="36">
      <x:c r="A36" s="19"/>
      <x:c r="B36" s="19"/>
      <x:c r="C36" s="19"/>
      <x:c r="D36" s="19"/>
      <x:c r="E36" s="19"/>
      <x:c r="F36" s="19"/>
    </x:row>
    <x:row r="37">
      <x:c r="A37" s="19"/>
      <x:c r="B37" s="19"/>
      <x:c r="C37" s="19"/>
      <x:c r="D37" s="19"/>
      <x:c r="E37" s="19"/>
      <x:c r="F37" s="19"/>
    </x:row>
    <x:row r="38">
      <x:c r="A38" s="19"/>
      <x:c r="B38" s="19"/>
      <x:c r="C38" s="19"/>
      <x:c r="D38" s="19"/>
      <x:c r="E38" s="19"/>
      <x:c r="F38" s="19"/>
    </x:row>
    <x:row r="39">
      <x:c r="A39" s="19"/>
      <x:c r="B39" s="19"/>
      <x:c r="C39" s="19"/>
      <x:c r="D39" s="19"/>
      <x:c r="E39" s="19"/>
      <x:c r="F39" s="19"/>
    </x:row>
    <x:row r="40">
      <x:c r="A40" s="19"/>
      <x:c r="B40" s="19"/>
      <x:c r="C40" s="19"/>
      <x:c r="D40" s="19"/>
      <x:c r="E40" s="19"/>
      <x:c r="F40" s="19"/>
    </x:row>
    <x:row r="41">
      <x:c r="A41" s="19"/>
      <x:c r="B41" s="19"/>
      <x:c r="C41" s="19"/>
      <x:c r="D41" s="19"/>
      <x:c r="E41" s="19"/>
      <x:c r="F41" s="19"/>
    </x:row>
    <x:row r="42">
      <x:c r="A42" s="19"/>
      <x:c r="B42" s="19"/>
      <x:c r="C42" s="19"/>
      <x:c r="D42" s="19"/>
      <x:c r="E42" s="19"/>
      <x:c r="F42" s="19"/>
    </x:row>
    <x:row r="43">
      <x:c r="A43" s="19"/>
      <x:c r="B43" s="19"/>
      <x:c r="C43" s="19"/>
      <x:c r="D43" s="19"/>
      <x:c r="E43" s="19"/>
      <x:c r="F43" s="19"/>
    </x:row>
    <x:row r="44">
      <x:c r="A44" s="19"/>
      <x:c r="B44" s="19"/>
      <x:c r="C44" s="19"/>
      <x:c r="D44" s="19"/>
      <x:c r="E44" s="19"/>
      <x:c r="F44" s="19"/>
    </x:row>
    <x:row r="45">
      <x:c r="A45" s="19"/>
      <x:c r="B45" s="19"/>
      <x:c r="C45" s="19"/>
      <x:c r="D45" s="19"/>
      <x:c r="E45" s="19"/>
      <x:c r="F45" s="19"/>
    </x:row>
    <x:row r="46">
      <x:c r="A46" s="19"/>
      <x:c r="B46" s="19"/>
      <x:c r="C46" s="19"/>
      <x:c r="D46" s="19"/>
      <x:c r="E46" s="19"/>
      <x:c r="F46" s="19"/>
    </x:row>
    <x:row r="47">
      <x:c r="A47" s="19"/>
      <x:c r="B47" s="19"/>
      <x:c r="C47" s="19"/>
      <x:c r="D47" s="19"/>
      <x:c r="E47" s="19"/>
      <x:c r="F47" s="19"/>
    </x:row>
    <x:row r="48">
      <x:c r="A48" s="19"/>
      <x:c r="B48" s="19"/>
      <x:c r="C48" s="19"/>
      <x:c r="D48" s="19"/>
      <x:c r="E48" s="19"/>
      <x:c r="F48" s="19"/>
    </x:row>
    <x:row r="49">
      <x:c r="A49" s="19"/>
      <x:c r="B49" s="19"/>
      <x:c r="C49" s="19"/>
      <x:c r="D49" s="19"/>
      <x:c r="E49" s="19"/>
      <x:c r="F49" s="19"/>
    </x:row>
    <x:row r="50">
      <x:c r="A50" s="19"/>
      <x:c r="B50" s="19"/>
      <x:c r="C50" s="19"/>
      <x:c r="D50" s="19"/>
      <x:c r="E50" s="19"/>
      <x:c r="F50" s="19"/>
    </x:row>
    <x:row r="51">
      <x:c r="A51" s="19"/>
      <x:c r="B51" s="19"/>
      <x:c r="C51" s="19"/>
      <x:c r="D51" s="19"/>
      <x:c r="E51" s="19"/>
      <x:c r="F51" s="19"/>
    </x:row>
    <x:row r="52">
      <x:c r="A52" s="19"/>
      <x:c r="B52" s="19"/>
      <x:c r="C52" s="19"/>
      <x:c r="D52" s="19"/>
      <x:c r="E52" s="19"/>
      <x:c r="F52" s="19"/>
    </x:row>
    <x:row r="53">
      <x:c r="A53" s="19"/>
      <x:c r="B53" s="19"/>
      <x:c r="C53" s="19"/>
      <x:c r="D53" s="19"/>
      <x:c r="E53" s="19"/>
      <x:c r="F53" s="19"/>
    </x:row>
    <x:row r="54">
      <x:c r="A54" s="19"/>
      <x:c r="B54" s="19"/>
      <x:c r="C54" s="19"/>
      <x:c r="D54" s="19"/>
      <x:c r="E54" s="19"/>
      <x:c r="F54" s="19"/>
    </x:row>
    <x:row r="55">
      <x:c r="A55" s="19"/>
      <x:c r="B55" s="19"/>
      <x:c r="C55" s="19"/>
      <x:c r="D55" s="19"/>
      <x:c r="E55" s="19"/>
      <x:c r="F55" s="19"/>
    </x:row>
    <x:row r="56">
      <x:c r="A56" s="19"/>
      <x:c r="B56" s="19"/>
      <x:c r="C56" s="19"/>
      <x:c r="D56" s="19"/>
      <x:c r="E56" s="19"/>
      <x:c r="F56" s="19"/>
    </x:row>
    <x:row r="57">
      <x:c r="A57" s="19"/>
      <x:c r="B57" s="19"/>
      <x:c r="C57" s="19"/>
      <x:c r="D57" s="19"/>
      <x:c r="E57" s="19"/>
      <x:c r="F57" s="19"/>
    </x:row>
    <x:row r="58">
      <x:c r="A58" s="19"/>
      <x:c r="B58" s="19"/>
      <x:c r="C58" s="19"/>
      <x:c r="D58" s="19"/>
      <x:c r="E58" s="19"/>
      <x:c r="F58" s="19"/>
    </x:row>
    <x:row r="59">
      <x:c r="A59" s="19"/>
      <x:c r="B59" s="19"/>
      <x:c r="C59" s="19"/>
      <x:c r="D59" s="19"/>
      <x:c r="E59" s="19"/>
      <x:c r="F59" s="19"/>
    </x:row>
    <x:row r="60">
      <x:c r="A60" s="19"/>
      <x:c r="B60" s="19"/>
      <x:c r="C60" s="19"/>
      <x:c r="D60" s="19"/>
      <x:c r="E60" s="19"/>
      <x:c r="F60" s="19"/>
    </x:row>
    <x:row r="61">
      <x:c r="A61" s="19"/>
      <x:c r="B61" s="19"/>
      <x:c r="C61" s="19"/>
      <x:c r="D61" s="19"/>
      <x:c r="E61" s="19"/>
      <x:c r="F61" s="19"/>
    </x:row>
    <x:row r="62">
      <x:c r="A62" s="19"/>
      <x:c r="B62" s="19"/>
      <x:c r="C62" s="19"/>
      <x:c r="D62" s="19"/>
      <x:c r="E62" s="19"/>
      <x:c r="F62" s="19"/>
    </x:row>
    <x:row r="63">
      <x:c r="A63" s="19"/>
      <x:c r="B63" s="19"/>
      <x:c r="C63" s="19"/>
      <x:c r="D63" s="19"/>
      <x:c r="E63" s="19"/>
      <x:c r="F63" s="19"/>
    </x:row>
    <x:row r="64">
      <x:c r="A64" s="19"/>
      <x:c r="B64" s="19"/>
      <x:c r="C64" s="19"/>
      <x:c r="D64" s="19"/>
      <x:c r="E64" s="19"/>
      <x:c r="F64" s="19"/>
    </x:row>
    <x:row r="65">
      <x:c r="A65" s="19"/>
      <x:c r="B65" s="19"/>
      <x:c r="C65" s="19"/>
      <x:c r="D65" s="19"/>
      <x:c r="E65" s="19"/>
      <x:c r="F65" s="19"/>
    </x:row>
    <x:row r="66">
      <x:c r="A66" s="19"/>
      <x:c r="B66" s="19"/>
      <x:c r="C66" s="19"/>
      <x:c r="D66" s="19"/>
      <x:c r="E66" s="19"/>
      <x:c r="F66" s="19"/>
    </x:row>
    <x:row r="67">
      <x:c r="A67" s="19"/>
      <x:c r="B67" s="19"/>
      <x:c r="C67" s="19"/>
      <x:c r="D67" s="19"/>
      <x:c r="E67" s="19"/>
      <x:c r="F67" s="19"/>
    </x:row>
    <x:row r="68">
      <x:c r="A68" s="19"/>
      <x:c r="B68" s="19"/>
      <x:c r="C68" s="19"/>
      <x:c r="D68" s="19"/>
      <x:c r="E68" s="19"/>
      <x:c r="F68" s="19"/>
    </x:row>
    <x:row r="69">
      <x:c r="A69" s="19"/>
      <x:c r="B69" s="19"/>
      <x:c r="C69" s="19"/>
      <x:c r="D69" s="19"/>
      <x:c r="E69" s="19"/>
      <x:c r="F69" s="19"/>
    </x:row>
    <x:row r="70">
      <x:c r="A70" s="19"/>
      <x:c r="B70" s="19"/>
      <x:c r="C70" s="19"/>
      <x:c r="D70" s="19"/>
      <x:c r="E70" s="19"/>
      <x:c r="F70" s="19"/>
    </x:row>
    <x:row r="71">
      <x:c r="A71" s="19"/>
      <x:c r="B71" s="19"/>
      <x:c r="C71" s="19"/>
      <x:c r="D71" s="19"/>
      <x:c r="E71" s="19"/>
      <x:c r="F71" s="19"/>
    </x:row>
    <x:row r="72">
      <x:c r="A72" s="19"/>
      <x:c r="B72" s="19"/>
      <x:c r="C72" s="19"/>
      <x:c r="D72" s="19"/>
      <x:c r="E72" s="19"/>
      <x:c r="F72" s="19"/>
    </x:row>
    <x:row r="73">
      <x:c r="A73" s="19"/>
      <x:c r="B73" s="19"/>
      <x:c r="C73" s="19"/>
      <x:c r="D73" s="19"/>
      <x:c r="E73" s="19"/>
      <x:c r="F73" s="19"/>
    </x:row>
    <x:row r="74">
      <x:c r="A74" s="19"/>
      <x:c r="B74" s="19"/>
      <x:c r="C74" s="19"/>
      <x:c r="D74" s="19"/>
      <x:c r="E74" s="19"/>
      <x:c r="F74" s="19"/>
    </x:row>
    <x:row r="75">
      <x:c r="A75" s="19"/>
      <x:c r="B75" s="19"/>
      <x:c r="C75" s="19"/>
      <x:c r="D75" s="19"/>
      <x:c r="E75" s="19"/>
      <x:c r="F75" s="19"/>
    </x:row>
    <x:row r="76">
      <x:c r="A76" s="19"/>
      <x:c r="B76" s="19"/>
      <x:c r="C76" s="19"/>
      <x:c r="D76" s="19"/>
      <x:c r="E76" s="19"/>
      <x:c r="F76" s="19"/>
    </x:row>
    <x:row r="77">
      <x:c r="A77" s="19"/>
      <x:c r="B77" s="19"/>
      <x:c r="C77" s="19"/>
      <x:c r="D77" s="19"/>
      <x:c r="E77" s="19"/>
      <x:c r="F77" s="19"/>
    </x:row>
    <x:row r="78">
      <x:c r="A78" s="19"/>
      <x:c r="B78" s="19"/>
      <x:c r="C78" s="19"/>
      <x:c r="D78" s="19"/>
      <x:c r="E78" s="19"/>
      <x:c r="F78" s="19"/>
    </x:row>
    <x:row r="79">
      <x:c r="A79" s="19"/>
      <x:c r="B79" s="19"/>
      <x:c r="C79" s="19"/>
      <x:c r="D79" s="19"/>
      <x:c r="E79" s="19"/>
      <x:c r="F79" s="19"/>
    </x:row>
    <x:row r="80">
      <x:c r="A80" s="19"/>
      <x:c r="B80" s="19"/>
      <x:c r="C80" s="19"/>
      <x:c r="D80" s="19"/>
      <x:c r="E80" s="19"/>
      <x:c r="F80" s="19"/>
    </x:row>
    <x:row r="81">
      <x:c r="A81" s="19"/>
      <x:c r="B81" s="19"/>
      <x:c r="C81" s="19"/>
      <x:c r="D81" s="19"/>
      <x:c r="E81" s="19"/>
      <x:c r="F81" s="19"/>
    </x:row>
    <x:row r="82">
      <x:c r="A82" s="19"/>
      <x:c r="B82" s="19"/>
      <x:c r="C82" s="19"/>
      <x:c r="D82" s="19"/>
      <x:c r="E82" s="19"/>
      <x:c r="F82" s="19"/>
    </x:row>
    <x:row r="83">
      <x:c r="A83" s="19"/>
      <x:c r="B83" s="19"/>
      <x:c r="C83" s="19"/>
      <x:c r="D83" s="19"/>
      <x:c r="E83" s="19"/>
      <x:c r="F83" s="19"/>
    </x:row>
    <x:row r="84">
      <x:c r="A84" s="19"/>
      <x:c r="B84" s="19"/>
      <x:c r="C84" s="19"/>
      <x:c r="D84" s="19"/>
      <x:c r="E84" s="19"/>
      <x:c r="F84" s="19"/>
    </x:row>
    <x:row r="85">
      <x:c r="A85" s="19"/>
      <x:c r="B85" s="19"/>
      <x:c r="C85" s="19"/>
      <x:c r="D85" s="19"/>
      <x:c r="E85" s="19"/>
      <x:c r="F85" s="19"/>
    </x:row>
    <x:row r="86">
      <x:c r="A86" s="19"/>
      <x:c r="B86" s="19"/>
      <x:c r="C86" s="19"/>
      <x:c r="D86" s="19"/>
      <x:c r="E86" s="19"/>
      <x:c r="F86" s="19"/>
    </x:row>
    <x:row r="87">
      <x:c r="A87" s="19"/>
      <x:c r="B87" s="19"/>
      <x:c r="C87" s="19"/>
      <x:c r="D87" s="19"/>
      <x:c r="E87" s="19"/>
      <x:c r="F87" s="19"/>
    </x:row>
    <x:row r="88">
      <x:c r="A88" s="19"/>
      <x:c r="B88" s="19"/>
      <x:c r="C88" s="19"/>
      <x:c r="D88" s="19"/>
      <x:c r="E88" s="19"/>
      <x:c r="F88" s="19"/>
    </x:row>
    <x:row r="89">
      <x:c r="A89" s="19"/>
      <x:c r="B89" s="19"/>
      <x:c r="C89" s="19"/>
      <x:c r="D89" s="19"/>
      <x:c r="E89" s="19"/>
      <x:c r="F89" s="19"/>
    </x:row>
    <x:row r="90">
      <x:c r="A90" s="19"/>
      <x:c r="B90" s="19"/>
      <x:c r="C90" s="19"/>
      <x:c r="D90" s="19"/>
      <x:c r="E90" s="19"/>
      <x:c r="F90" s="19"/>
    </x:row>
    <x:row r="91">
      <x:c r="A91" s="19"/>
      <x:c r="B91" s="19"/>
      <x:c r="C91" s="19"/>
      <x:c r="D91" s="19"/>
      <x:c r="E91" s="19"/>
      <x:c r="F91" s="19"/>
    </x:row>
    <x:row r="92">
      <x:c r="A92" s="19"/>
      <x:c r="B92" s="19"/>
      <x:c r="C92" s="19"/>
      <x:c r="D92" s="19"/>
      <x:c r="E92" s="19"/>
      <x:c r="F92" s="19"/>
    </x:row>
    <x:row r="93">
      <x:c r="A93" s="19"/>
      <x:c r="B93" s="19"/>
      <x:c r="C93" s="19"/>
      <x:c r="D93" s="19"/>
      <x:c r="E93" s="19"/>
      <x:c r="F93" s="19"/>
    </x:row>
    <x:row r="94">
      <x:c r="A94" s="19"/>
      <x:c r="B94" s="19"/>
      <x:c r="C94" s="19"/>
      <x:c r="D94" s="19"/>
      <x:c r="E94" s="19"/>
      <x:c r="F94" s="19"/>
    </x:row>
    <x:row r="95">
      <x:c r="A95" s="19"/>
      <x:c r="B95" s="19"/>
      <x:c r="C95" s="19"/>
      <x:c r="D95" s="19"/>
      <x:c r="E95" s="19"/>
      <x:c r="F95" s="19"/>
    </x:row>
    <x:row r="96">
      <x:c r="A96" s="19"/>
      <x:c r="B96" s="19"/>
      <x:c r="C96" s="19"/>
      <x:c r="D96" s="19"/>
      <x:c r="E96" s="19"/>
      <x:c r="F96" s="19"/>
    </x:row>
    <x:row r="97">
      <x:c r="A97" s="19"/>
      <x:c r="B97" s="19"/>
      <x:c r="C97" s="19"/>
      <x:c r="D97" s="19"/>
      <x:c r="E97" s="19"/>
      <x:c r="F97" s="19"/>
    </x:row>
    <x:row r="98">
      <x:c r="A98" s="19"/>
      <x:c r="B98" s="19"/>
      <x:c r="C98" s="19"/>
      <x:c r="D98" s="19"/>
      <x:c r="E98" s="19"/>
      <x:c r="F98" s="19"/>
    </x:row>
    <x:row r="99">
      <x:c r="A99" s="19"/>
      <x:c r="B99" s="19"/>
      <x:c r="C99" s="19"/>
      <x:c r="D99" s="19"/>
      <x:c r="E99" s="19"/>
      <x:c r="F99" s="19"/>
    </x:row>
    <x:row r="100">
      <x:c r="A100" s="19"/>
      <x:c r="B100" s="19"/>
      <x:c r="C100" s="19"/>
      <x:c r="D100" s="19"/>
      <x:c r="E100" s="19"/>
      <x:c r="F100" s="19"/>
    </x:row>
    <x:row r="101">
      <x:c r="A101" s="19"/>
      <x:c r="B101" s="19"/>
      <x:c r="C101" s="19"/>
      <x:c r="D101" s="19"/>
      <x:c r="E101" s="19"/>
      <x:c r="F101" s="19"/>
    </x:row>
  </x:sheetData>
  <x:mergeCells>
    <x:mergeCell ref="H1:J1"/>
  </x:mergeCells>
  <x:pageMargins left="0.7" right="0.7" top="0.75" bottom="0.75" header="0.3" footer="0.3"/>
</x:worksheet>
</file>