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ead5319a9645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P Signups" sheetId="1" r:id="R4e1f60542abd414e"/>
    <x:sheet xmlns:r="http://schemas.openxmlformats.org/officeDocument/2006/relationships" name="Plugin Export" sheetId="2" r:id="R71566669ff3d4299"/>
    <x:sheet xmlns:r="http://schemas.openxmlformats.org/officeDocument/2006/relationships" name="Benefit Resets" sheetId="3" r:id="Rf3a4fb2d08f64621"/>
    <x:sheet xmlns:r="http://schemas.openxmlformats.org/officeDocument/2006/relationships" name="Setup Guide" sheetId="4" r:id="Rbda695179c794262"/>
    <x:sheet xmlns:r="http://schemas.openxmlformats.org/officeDocument/2006/relationships" name="Lists" sheetId="5" r:id="R73d177808ada4d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2304A"/>
      </x:patternFill>
    </x:fill>
    <x:fill>
      <x:patternFill patternType="solid">
        <x:fgColor rgb="FFEAF2F8"/>
      </x:patternFill>
    </x:fill>
    <x:fill>
      <x:patternFill patternType="solid">
        <x:fgColor rgb="FF1F7A7A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 wrapText="1"/>
    </x:xf>
    <x:xf numFmtId="201" fontId="4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e84c4a06744ce6" /><Relationship Type="http://schemas.openxmlformats.org/officeDocument/2006/relationships/theme" Target="/xl/theme/theme1.xml" Id="Rbc05735821f94abf" /><Relationship Type="http://schemas.openxmlformats.org/officeDocument/2006/relationships/sharedStrings" Target="/xl/sharedStrings.xml" Id="R23f2c6109d4f4e15" /><Relationship Type="http://schemas.openxmlformats.org/officeDocument/2006/relationships/worksheet" Target="/xl/worksheets/sheet1.xml" Id="R4e1f60542abd414e" /><Relationship Type="http://schemas.openxmlformats.org/officeDocument/2006/relationships/worksheet" Target="/xl/worksheets/sheet2.xml" Id="R71566669ff3d4299" /><Relationship Type="http://schemas.openxmlformats.org/officeDocument/2006/relationships/worksheet" Target="/xl/worksheets/sheet3.xml" Id="Rf3a4fb2d08f64621" /><Relationship Type="http://schemas.openxmlformats.org/officeDocument/2006/relationships/worksheet" Target="/xl/worksheets/sheet4.xml" Id="Rbda695179c794262" /><Relationship Type="http://schemas.openxmlformats.org/officeDocument/2006/relationships/worksheet" Target="/xl/worksheets/sheet5.xml" Id="R73d177808ada4d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7" max="7" width="32.5" hidden="0" customWidth="1"/>
    <x:col min="8" max="8" width="32.5" hidden="0" customWidth="1"/>
    <x:col min="12" max="12" width="32.5" hidden="0" customWidth="1"/>
    <x:col min="13" max="13" width="32.5" hidden="0" customWidth="1"/>
  </x:cols>
  <x:sheetData>
    <x:row r="1">
      <x:c r="A1" s="3" t="str">
        <x:v>VIP Tracker Signup Template</x:v>
      </x:c>
      <x:c r="B1" s="3" t="str">
        <x:v>VIP Tracker Signup Template</x:v>
      </x:c>
      <x:c r="C1" s="3" t="str">
        <x:v>VIP Tracker Signup Template</x:v>
      </x:c>
      <x:c r="D1" s="3" t="str">
        <x:v>VIP Tracker Signup Template</x:v>
      </x:c>
      <x:c r="E1" s="3" t="str">
        <x:v>VIP Tracker Signup Template</x:v>
      </x:c>
      <x:c r="F1" s="3" t="str">
        <x:v>VIP Tracker Signup Template</x:v>
      </x:c>
      <x:c r="G1" s="3" t="str">
        <x:v>VIP Tracker Signup Template</x:v>
      </x:c>
      <x:c r="H1" s="3" t="str">
        <x:v>VIP Tracker Signup Template</x:v>
      </x:c>
      <x:c r="I1" s="3" t="str">
        <x:v>VIP Tracker Signup Template</x:v>
      </x:c>
      <x:c r="J1" s="3" t="str">
        <x:v>VIP Tracker Signup Template</x:v>
      </x:c>
      <x:c r="K1" s="3" t="str">
        <x:v>VIP Tracker Signup Template</x:v>
      </x:c>
      <x:c r="L1" s="3" t="str">
        <x:v>VIP Tracker Signup Template</x:v>
      </x:c>
      <x:c r="M1" s="3" t="str">
        <x:v>VIP Tracker Signup Template</x:v>
      </x:c>
    </x:row>
    <x:row r="2">
      <x:c r="A2" s="7" t="str">
        <x:v>Enter signups here. Plugin Export filters active VIPs and includes resettable benefit availability for VIP Name Checker.</x:v>
      </x:c>
      <x:c r="B2" s="7" t="str">
        <x:v>Enter signups here. Plugin Export filters active VIPs and includes resettable benefit availability for VIP Name Checker.</x:v>
      </x:c>
      <x:c r="C2" s="7" t="str">
        <x:v>Enter signups here. Plugin Export filters active VIPs and includes resettable benefit availability for VIP Name Checker.</x:v>
      </x:c>
      <x:c r="D2" s="7" t="str">
        <x:v>Enter signups here. Plugin Export filters active VIPs and includes resettable benefit availability for VIP Name Checker.</x:v>
      </x:c>
      <x:c r="E2" s="7" t="str">
        <x:v>Enter signups here. Plugin Export filters active VIPs and includes resettable benefit availability for VIP Name Checker.</x:v>
      </x:c>
      <x:c r="F2" s="7" t="str">
        <x:v>Enter signups here. Plugin Export filters active VIPs and includes resettable benefit availability for VIP Name Checker.</x:v>
      </x:c>
      <x:c r="G2" s="7" t="str">
        <x:v>Enter signups here. Plugin Export filters active VIPs and includes resettable benefit availability for VIP Name Checker.</x:v>
      </x:c>
      <x:c r="H2" s="7" t="str">
        <x:v>Enter signups here. Plugin Export filters active VIPs and includes resettable benefit availability for VIP Name Checker.</x:v>
      </x:c>
      <x:c r="I2" s="7" t="str">
        <x:v>Enter signups here. Plugin Export filters active VIPs and includes resettable benefit availability for VIP Name Checker.</x:v>
      </x:c>
      <x:c r="J2" s="7" t="str">
        <x:v>Enter signups here. Plugin Export filters active VIPs and includes resettable benefit availability for VIP Name Checker.</x:v>
      </x:c>
      <x:c r="K2" s="7" t="str">
        <x:v>Enter signups here. Plugin Export filters active VIPs and includes resettable benefit availability for VIP Name Checker.</x:v>
      </x:c>
      <x:c r="L2" s="7" t="str">
        <x:v>Enter signups here. Plugin Export filters active VIPs and includes resettable benefit availability for VIP Name Checker.</x:v>
      </x:c>
      <x:c r="M2" s="7" t="str">
        <x:v>Enter signups here. Plugin Export filters active VIPs and includes resettable benefit availability for VIP Name Checker.</x:v>
      </x:c>
    </x:row>
    <x:row r="4">
      <x:c r="A4" s="13" t="str">
        <x:v>Character Name</x:v>
      </x:c>
      <x:c r="B4" s="13" t="str">
        <x:v>Signup Date</x:v>
      </x:c>
      <x:c r="C4" s="13" t="str">
        <x:v>Duration</x:v>
      </x:c>
      <x:c r="D4" s="13" t="str">
        <x:v>Expiration Date</x:v>
      </x:c>
      <x:c r="E4" s="13" t="str">
        <x:v>Status</x:v>
      </x:c>
      <x:c r="F4" s="13" t="str">
        <x:v>VIP Type</x:v>
      </x:c>
      <x:c r="G4" s="13" t="str">
        <x:v>Benefits Available</x:v>
      </x:c>
      <x:c r="H4" s="13" t="str">
        <x:v>Notes</x:v>
      </x:c>
      <x:c r="I4" s="13" t="str">
        <x:v>Discord / Contact</x:v>
      </x:c>
      <x:c r="J4" s="13" t="str">
        <x:v>Payment / Proof</x:v>
      </x:c>
      <x:c r="K4" s="13" t="str">
        <x:v>Sort Rank</x:v>
      </x:c>
      <x:c r="L4" s="13" t="str">
        <x:v>Reset Benefit Summary</x:v>
      </x:c>
      <x:c r="M4" s="13" t="str">
        <x:v>Benefits Display</x:v>
      </x:c>
    </x:row>
    <x:row r="5">
      <x:c r="A5" s="18" t="str">
        <x:v>Astra Dawn</x:v>
      </x:c>
      <x:c r="B5" s="19" t="n">
        <x:v>46174</x:v>
      </x:c>
      <x:c r="C5" s="18" t="str">
        <x:v>30 Days</x:v>
      </x:c>
      <x:c r="D5" s="19" t="n">
        <x:f>IF(A5="","",IFERROR(B5+VLOOKUP(C5,Lists!$A$2:$B$101,2,FALSE),"Check duration"))</x:f>
        <x:v>46204</x:v>
      </x:c>
      <x:c r="E5" s="18" t="str">
        <x:f>IF(A5="","",IF(ISNUMBER(D5),IF(D5&lt;TODAY(),"Expired",IF(D5&lt;=TODAY()+7,"Expiring Soon","Active")),"Check Duration"))</x:f>
        <x:v>Active</x:v>
      </x:c>
      <x:c r="F5" s="18" t="str">
        <x:v>Gold</x:v>
      </x:c>
      <x:c r="G5" s="18" t="str">
        <x:v>Queue Priority; Photo Slot; Gamba Token</x:v>
      </x:c>
      <x:c r="H5" s="18" t="str">
        <x:v>Renewal reminder one week before expiry.</x:v>
      </x:c>
      <x:c r="I5" s="18" t="str">
        <x:v>astra.dawn</x:v>
      </x:c>
      <x:c r="J5" s="18" t="str">
        <x:v>Paid</x:v>
      </x:c>
      <x:c r="K5" s="18" t="n">
        <x:f>IF(A5="","",IF(E5="Expired","",IF(E5="Check Duration","",COUNTIFS($A$5:$A$204,"&lt;"&amp;A5,$E$5:$E$204,"&lt;&gt;Expired",$E$5:$E$204,"&lt;&gt;Check Duration")+COUNTIFS($A$5:A5,A5,$E$5:E5,"&lt;&gt;Expired",$E$5:E5,"&lt;&gt;Check Duration"))))</x:f>
        <x:v>1</x:v>
      </x:c>
      <x:c r="L5" s="18" t="str">
        <x:f>IF(A5="","",IFERROR(TEXTJOIN("; ",TRUE,FILTER('Benefit Resets'!$J$5:$J$204,'Benefit Resets'!$A$5:$A$204=A5,'Benefit Resets'!$L$5:$L$204="Yes")),""))</x:f>
        <x:v>Photo Slot: Available (2/3 left); Gamba Token: Available (1/1 left)</x:v>
      </x:c>
      <x:c r="M5" s="18" t="str">
        <x:f>IF(A5="","",IF(L5="",G5,G5&amp;" | "&amp;L5))</x:f>
        <x:v>Queue Priority; Photo Slot; Gamba Token | Photo Slot: Available (2/3 left); Gamba Token: Available (1/1 left)</x:v>
      </x:c>
    </x:row>
    <x:row r="6">
      <x:c r="A6" s="18" t="str">
        <x:v>Mira Vale</x:v>
      </x:c>
      <x:c r="B6" s="19" t="n">
        <x:v>46189</x:v>
      </x:c>
      <x:c r="C6" s="18" t="str">
        <x:v>Event Only</x:v>
      </x:c>
      <x:c r="D6" s="19" t="n">
        <x:f>IF(A6="","",IFERROR(B6+VLOOKUP(C6,Lists!$A$2:$B$101,2,FALSE),"Check duration"))</x:f>
        <x:v>46189</x:v>
      </x:c>
      <x:c r="E6" s="18" t="str">
        <x:f>IF(A6="","",IF(ISNUMBER(D6),IF(D6&lt;TODAY(),"Expired",IF(D6&lt;=TODAY()+7,"Expiring Soon","Active")),"Check Duration"))</x:f>
        <x:v>Expiring Soon</x:v>
      </x:c>
      <x:c r="F6" s="18" t="str">
        <x:v>Event</x:v>
      </x:c>
      <x:c r="G6" s="18" t="str">
        <x:v>Event Access; Photo Slot</x:v>
      </x:c>
      <x:c r="H6" s="18" t="str">
        <x:v>One-night venue pass.</x:v>
      </x:c>
      <x:c r="I6" s="18" t="str">
        <x:v>mira.vale</x:v>
      </x:c>
      <x:c r="J6" s="18" t="str">
        <x:v>Comp</x:v>
      </x:c>
      <x:c r="K6" s="18" t="n">
        <x:f>IF(A6="","",IF(E6="Expired","",IF(E6="Check Duration","",COUNTIFS($A$5:$A$204,"&lt;"&amp;A6,$E$5:$E$204,"&lt;&gt;Expired",$E$5:$E$204,"&lt;&gt;Check Duration")+COUNTIFS($A$5:A6,A6,$E$5:E6,"&lt;&gt;Expired",$E$5:E6,"&lt;&gt;Check Duration"))))</x:f>
        <x:v>2</x:v>
      </x:c>
      <x:c r="L6" s="18" t="str">
        <x:f>IF(A6="","",IFERROR(TEXTJOIN("; ",TRUE,FILTER('Benefit Resets'!$J$5:$J$204,'Benefit Resets'!$A$5:$A$204=A6,'Benefit Resets'!$L$5:$L$204="Yes")),""))</x:f>
        <x:v>true</x:v>
      </x:c>
      <x:c r="M6" s="18" t="str">
        <x:f>IF(A6="","",IF(L6="",G6,G6&amp;" | "&amp;L6))</x:f>
        <x:v>Event Access; Photo Slot | true</x:v>
      </x:c>
    </x:row>
    <x:row r="7">
      <x:c r="A7" s="18" t="str">
        <x:v>Riven Holt</x:v>
      </x:c>
      <x:c r="B7" s="19" t="n">
        <x:v>46152</x:v>
      </x:c>
      <x:c r="C7" s="18" t="str">
        <x:v>30 Days</x:v>
      </x:c>
      <x:c r="D7" s="19" t="n">
        <x:f>IF(A7="","",IFERROR(B7+VLOOKUP(C7,Lists!$A$2:$B$101,2,FALSE),"Check duration"))</x:f>
        <x:v>46182</x:v>
      </x:c>
      <x:c r="E7" s="18" t="str">
        <x:f>IF(A7="","",IF(ISNUMBER(D7),IF(D7&lt;TODAY(),"Expired",IF(D7&lt;=TODAY()+7,"Expiring Soon","Active")),"Check Duration"))</x:f>
        <x:v>Expired</x:v>
      </x:c>
      <x:c r="F7" s="18" t="str">
        <x:v>Silver</x:v>
      </x:c>
      <x:c r="G7" s="18" t="str">
        <x:v>Queue Priority</x:v>
      </x:c>
      <x:c r="H7" s="18" t="str">
        <x:v>Example expired row.</x:v>
      </x:c>
      <x:c r="I7" s="18" t="str">
        <x:v>riven.holt</x:v>
      </x:c>
      <x:c r="J7" s="18" t="str">
        <x:v>Paid</x:v>
      </x:c>
      <x:c r="K7" s="18" t="str">
        <x:f>IF(A7="","",IF(E7="Expired","",IF(E7="Check Duration","",COUNTIFS($A$5:$A$204,"&lt;"&amp;A7,$E$5:$E$204,"&lt;&gt;Expired",$E$5:$E$204,"&lt;&gt;Check Duration")+COUNTIFS($A$5:A7,A7,$E$5:E7,"&lt;&gt;Expired",$E$5:E7,"&lt;&gt;Check Duration"))))</x:f>
      </x:c>
      <x:c r="L7" s="18" t="str">
        <x:f>IF(A7="","",IFERROR(TEXTJOIN("; ",TRUE,FILTER('Benefit Resets'!$J$5:$J$204,'Benefit Resets'!$A$5:$A$204=A7,'Benefit Resets'!$L$5:$L$204="Yes")),""))</x:f>
        <x:v>true</x:v>
      </x:c>
      <x:c r="M7" s="18" t="str">
        <x:f>IF(A7="","",IF(L7="",G7,G7&amp;" | "&amp;L7))</x:f>
        <x:v>Queue Priority | true</x:v>
      </x:c>
    </x:row>
    <x:row r="8">
      <x:c r="A8" s="18"/>
      <x:c r="B8" s="19"/>
      <x:c r="C8" s="18"/>
      <x:c r="D8" s="19" t="str">
        <x:f>IF(A8="","",IFERROR(B8+VLOOKUP(C8,Lists!$A$2:$B$101,2,FALSE),"Check duration"))</x:f>
      </x:c>
      <x:c r="E8" s="18" t="str">
        <x:f>IF(A8="","",IF(ISNUMBER(D8),IF(D8&lt;TODAY(),"Expired",IF(D8&lt;=TODAY()+7,"Expiring Soon","Active")),"Check Duration"))</x:f>
      </x:c>
      <x:c r="F8" s="18"/>
      <x:c r="G8" s="18"/>
      <x:c r="H8" s="18"/>
      <x:c r="I8" s="18"/>
      <x:c r="J8" s="18"/>
      <x:c r="K8" s="18" t="str">
        <x:f>IF(A8="","",IF(E8="Expired","",IF(E8="Check Duration","",COUNTIFS($A$5:$A$204,"&lt;"&amp;A8,$E$5:$E$204,"&lt;&gt;Expired",$E$5:$E$204,"&lt;&gt;Check Duration")+COUNTIFS($A$5:A8,A8,$E$5:E8,"&lt;&gt;Expired",$E$5:E8,"&lt;&gt;Check Duration"))))</x:f>
      </x:c>
      <x:c r="L8" s="18" t="str">
        <x:f>IF(A8="","",IFERROR(TEXTJOIN("; ",TRUE,FILTER('Benefit Resets'!$J$5:$J$204,'Benefit Resets'!$A$5:$A$204=A8,'Benefit Resets'!$L$5:$L$204="Yes")),""))</x:f>
      </x:c>
      <x:c r="M8" s="18" t="str">
        <x:f>IF(A8="","",IF(L8="",G8,G8&amp;" | "&amp;L8))</x:f>
      </x:c>
    </x:row>
    <x:row r="9">
      <x:c r="A9" s="18"/>
      <x:c r="B9" s="19"/>
      <x:c r="C9" s="18"/>
      <x:c r="D9" s="19" t="str">
        <x:f>IF(A9="","",IFERROR(B9+VLOOKUP(C9,Lists!$A$2:$B$101,2,FALSE),"Check duration"))</x:f>
      </x:c>
      <x:c r="E9" s="18" t="str">
        <x:f>IF(A9="","",IF(ISNUMBER(D9),IF(D9&lt;TODAY(),"Expired",IF(D9&lt;=TODAY()+7,"Expiring Soon","Active")),"Check Duration"))</x:f>
      </x:c>
      <x:c r="F9" s="18"/>
      <x:c r="G9" s="18"/>
      <x:c r="H9" s="18"/>
      <x:c r="I9" s="18"/>
      <x:c r="J9" s="18"/>
      <x:c r="K9" s="18" t="str">
        <x:f>IF(A9="","",IF(E9="Expired","",IF(E9="Check Duration","",COUNTIFS($A$5:$A$204,"&lt;"&amp;A9,$E$5:$E$204,"&lt;&gt;Expired",$E$5:$E$204,"&lt;&gt;Check Duration")+COUNTIFS($A$5:A9,A9,$E$5:E9,"&lt;&gt;Expired",$E$5:E9,"&lt;&gt;Check Duration"))))</x:f>
      </x:c>
      <x:c r="L9" s="18" t="str">
        <x:f>IF(A9="","",IFERROR(TEXTJOIN("; ",TRUE,FILTER('Benefit Resets'!$J$5:$J$204,'Benefit Resets'!$A$5:$A$204=A9,'Benefit Resets'!$L$5:$L$204="Yes")),""))</x:f>
      </x:c>
      <x:c r="M9" s="18" t="str">
        <x:f>IF(A9="","",IF(L9="",G9,G9&amp;" | "&amp;L9))</x:f>
      </x:c>
    </x:row>
    <x:row r="10">
      <x:c r="A10" s="18"/>
      <x:c r="B10" s="19"/>
      <x:c r="C10" s="18"/>
      <x:c r="D10" s="19" t="str">
        <x:f>IF(A10="","",IFERROR(B10+VLOOKUP(C10,Lists!$A$2:$B$101,2,FALSE),"Check duration"))</x:f>
      </x:c>
      <x:c r="E10" s="18" t="str">
        <x:f>IF(A10="","",IF(ISNUMBER(D10),IF(D10&lt;TODAY(),"Expired",IF(D10&lt;=TODAY()+7,"Expiring Soon","Active")),"Check Duration"))</x:f>
      </x:c>
      <x:c r="F10" s="18"/>
      <x:c r="G10" s="18"/>
      <x:c r="H10" s="18"/>
      <x:c r="I10" s="18"/>
      <x:c r="J10" s="18"/>
      <x:c r="K10" s="18" t="str">
        <x:f>IF(A10="","",IF(E10="Expired","",IF(E10="Check Duration","",COUNTIFS($A$5:$A$204,"&lt;"&amp;A10,$E$5:$E$204,"&lt;&gt;Expired",$E$5:$E$204,"&lt;&gt;Check Duration")+COUNTIFS($A$5:A10,A10,$E$5:E10,"&lt;&gt;Expired",$E$5:E10,"&lt;&gt;Check Duration"))))</x:f>
      </x:c>
      <x:c r="L10" s="18" t="str">
        <x:f>IF(A10="","",IFERROR(TEXTJOIN("; ",TRUE,FILTER('Benefit Resets'!$J$5:$J$204,'Benefit Resets'!$A$5:$A$204=A10,'Benefit Resets'!$L$5:$L$204="Yes")),""))</x:f>
      </x:c>
      <x:c r="M10" s="18" t="str">
        <x:f>IF(A10="","",IF(L10="",G10,G10&amp;" | "&amp;L10))</x:f>
      </x:c>
    </x:row>
    <x:row r="11">
      <x:c r="A11" s="18"/>
      <x:c r="B11" s="19"/>
      <x:c r="C11" s="18"/>
      <x:c r="D11" s="19" t="str">
        <x:f>IF(A11="","",IFERROR(B11+VLOOKUP(C11,Lists!$A$2:$B$101,2,FALSE),"Check duration"))</x:f>
      </x:c>
      <x:c r="E11" s="18" t="str">
        <x:f>IF(A11="","",IF(ISNUMBER(D11),IF(D11&lt;TODAY(),"Expired",IF(D11&lt;=TODAY()+7,"Expiring Soon","Active")),"Check Duration"))</x:f>
      </x:c>
      <x:c r="F11" s="18"/>
      <x:c r="G11" s="18"/>
      <x:c r="H11" s="18"/>
      <x:c r="I11" s="18"/>
      <x:c r="J11" s="18"/>
      <x:c r="K11" s="18" t="str">
        <x:f>IF(A11="","",IF(E11="Expired","",IF(E11="Check Duration","",COUNTIFS($A$5:$A$204,"&lt;"&amp;A11,$E$5:$E$204,"&lt;&gt;Expired",$E$5:$E$204,"&lt;&gt;Check Duration")+COUNTIFS($A$5:A11,A11,$E$5:E11,"&lt;&gt;Expired",$E$5:E11,"&lt;&gt;Check Duration"))))</x:f>
      </x:c>
      <x:c r="L11" s="18" t="str">
        <x:f>IF(A11="","",IFERROR(TEXTJOIN("; ",TRUE,FILTER('Benefit Resets'!$J$5:$J$204,'Benefit Resets'!$A$5:$A$204=A11,'Benefit Resets'!$L$5:$L$204="Yes")),""))</x:f>
      </x:c>
      <x:c r="M11" s="18" t="str">
        <x:f>IF(A11="","",IF(L11="",G11,G11&amp;" | "&amp;L11))</x:f>
      </x:c>
    </x:row>
    <x:row r="12">
      <x:c r="A12" s="18"/>
      <x:c r="B12" s="19"/>
      <x:c r="C12" s="18"/>
      <x:c r="D12" s="19" t="str">
        <x:f>IF(A12="","",IFERROR(B12+VLOOKUP(C12,Lists!$A$2:$B$101,2,FALSE),"Check duration"))</x:f>
      </x:c>
      <x:c r="E12" s="18" t="str">
        <x:f>IF(A12="","",IF(ISNUMBER(D12),IF(D12&lt;TODAY(),"Expired",IF(D12&lt;=TODAY()+7,"Expiring Soon","Active")),"Check Duration"))</x:f>
      </x:c>
      <x:c r="F12" s="18"/>
      <x:c r="G12" s="18"/>
      <x:c r="H12" s="18"/>
      <x:c r="I12" s="18"/>
      <x:c r="J12" s="18"/>
      <x:c r="K12" s="18" t="str">
        <x:f>IF(A12="","",IF(E12="Expired","",IF(E12="Check Duration","",COUNTIFS($A$5:$A$204,"&lt;"&amp;A12,$E$5:$E$204,"&lt;&gt;Expired",$E$5:$E$204,"&lt;&gt;Check Duration")+COUNTIFS($A$5:A12,A12,$E$5:E12,"&lt;&gt;Expired",$E$5:E12,"&lt;&gt;Check Duration"))))</x:f>
      </x:c>
      <x:c r="L12" s="18" t="str">
        <x:f>IF(A12="","",IFERROR(TEXTJOIN("; ",TRUE,FILTER('Benefit Resets'!$J$5:$J$204,'Benefit Resets'!$A$5:$A$204=A12,'Benefit Resets'!$L$5:$L$204="Yes")),""))</x:f>
      </x:c>
      <x:c r="M12" s="18" t="str">
        <x:f>IF(A12="","",IF(L12="",G12,G12&amp;" | "&amp;L12))</x:f>
      </x:c>
    </x:row>
    <x:row r="13">
      <x:c r="A13" s="18"/>
      <x:c r="B13" s="19"/>
      <x:c r="C13" s="18"/>
      <x:c r="D13" s="19" t="str">
        <x:f>IF(A13="","",IFERROR(B13+VLOOKUP(C13,Lists!$A$2:$B$101,2,FALSE),"Check duration"))</x:f>
      </x:c>
      <x:c r="E13" s="18" t="str">
        <x:f>IF(A13="","",IF(ISNUMBER(D13),IF(D13&lt;TODAY(),"Expired",IF(D13&lt;=TODAY()+7,"Expiring Soon","Active")),"Check Duration"))</x:f>
      </x:c>
      <x:c r="F13" s="18"/>
      <x:c r="G13" s="18"/>
      <x:c r="H13" s="18"/>
      <x:c r="I13" s="18"/>
      <x:c r="J13" s="18"/>
      <x:c r="K13" s="18" t="str">
        <x:f>IF(A13="","",IF(E13="Expired","",IF(E13="Check Duration","",COUNTIFS($A$5:$A$204,"&lt;"&amp;A13,$E$5:$E$204,"&lt;&gt;Expired",$E$5:$E$204,"&lt;&gt;Check Duration")+COUNTIFS($A$5:A13,A13,$E$5:E13,"&lt;&gt;Expired",$E$5:E13,"&lt;&gt;Check Duration"))))</x:f>
      </x:c>
      <x:c r="L13" s="18" t="str">
        <x:f>IF(A13="","",IFERROR(TEXTJOIN("; ",TRUE,FILTER('Benefit Resets'!$J$5:$J$204,'Benefit Resets'!$A$5:$A$204=A13,'Benefit Resets'!$L$5:$L$204="Yes")),""))</x:f>
      </x:c>
      <x:c r="M13" s="18" t="str">
        <x:f>IF(A13="","",IF(L13="",G13,G13&amp;" | "&amp;L13))</x:f>
      </x:c>
    </x:row>
    <x:row r="14">
      <x:c r="A14" s="18"/>
      <x:c r="B14" s="19"/>
      <x:c r="C14" s="18"/>
      <x:c r="D14" s="19" t="str">
        <x:f>IF(A14="","",IFERROR(B14+VLOOKUP(C14,Lists!$A$2:$B$101,2,FALSE),"Check duration"))</x:f>
      </x:c>
      <x:c r="E14" s="18" t="str">
        <x:f>IF(A14="","",IF(ISNUMBER(D14),IF(D14&lt;TODAY(),"Expired",IF(D14&lt;=TODAY()+7,"Expiring Soon","Active")),"Check Duration"))</x:f>
      </x:c>
      <x:c r="F14" s="18"/>
      <x:c r="G14" s="18"/>
      <x:c r="H14" s="18"/>
      <x:c r="I14" s="18"/>
      <x:c r="J14" s="18"/>
      <x:c r="K14" s="18" t="str">
        <x:f>IF(A14="","",IF(E14="Expired","",IF(E14="Check Duration","",COUNTIFS($A$5:$A$204,"&lt;"&amp;A14,$E$5:$E$204,"&lt;&gt;Expired",$E$5:$E$204,"&lt;&gt;Check Duration")+COUNTIFS($A$5:A14,A14,$E$5:E14,"&lt;&gt;Expired",$E$5:E14,"&lt;&gt;Check Duration"))))</x:f>
      </x:c>
      <x:c r="L14" s="18" t="str">
        <x:f>IF(A14="","",IFERROR(TEXTJOIN("; ",TRUE,FILTER('Benefit Resets'!$J$5:$J$204,'Benefit Resets'!$A$5:$A$204=A14,'Benefit Resets'!$L$5:$L$204="Yes")),""))</x:f>
      </x:c>
      <x:c r="M14" s="18" t="str">
        <x:f>IF(A14="","",IF(L14="",G14,G14&amp;" | "&amp;L14))</x:f>
      </x:c>
    </x:row>
    <x:row r="15">
      <x:c r="A15" s="18"/>
      <x:c r="B15" s="19"/>
      <x:c r="C15" s="18"/>
      <x:c r="D15" s="19" t="str">
        <x:f>IF(A15="","",IFERROR(B15+VLOOKUP(C15,Lists!$A$2:$B$101,2,FALSE),"Check duration"))</x:f>
      </x:c>
      <x:c r="E15" s="18" t="str">
        <x:f>IF(A15="","",IF(ISNUMBER(D15),IF(D15&lt;TODAY(),"Expired",IF(D15&lt;=TODAY()+7,"Expiring Soon","Active")),"Check Duration"))</x:f>
      </x:c>
      <x:c r="F15" s="18"/>
      <x:c r="G15" s="18"/>
      <x:c r="H15" s="18"/>
      <x:c r="I15" s="18"/>
      <x:c r="J15" s="18"/>
      <x:c r="K15" s="18" t="str">
        <x:f>IF(A15="","",IF(E15="Expired","",IF(E15="Check Duration","",COUNTIFS($A$5:$A$204,"&lt;"&amp;A15,$E$5:$E$204,"&lt;&gt;Expired",$E$5:$E$204,"&lt;&gt;Check Duration")+COUNTIFS($A$5:A15,A15,$E$5:E15,"&lt;&gt;Expired",$E$5:E15,"&lt;&gt;Check Duration"))))</x:f>
      </x:c>
      <x:c r="L15" s="18" t="str">
        <x:f>IF(A15="","",IFERROR(TEXTJOIN("; ",TRUE,FILTER('Benefit Resets'!$J$5:$J$204,'Benefit Resets'!$A$5:$A$204=A15,'Benefit Resets'!$L$5:$L$204="Yes")),""))</x:f>
      </x:c>
      <x:c r="M15" s="18" t="str">
        <x:f>IF(A15="","",IF(L15="",G15,G15&amp;" | "&amp;L15))</x:f>
      </x:c>
    </x:row>
    <x:row r="16">
      <x:c r="A16" s="18"/>
      <x:c r="B16" s="19"/>
      <x:c r="C16" s="18"/>
      <x:c r="D16" s="19" t="str">
        <x:f>IF(A16="","",IFERROR(B16+VLOOKUP(C16,Lists!$A$2:$B$101,2,FALSE),"Check duration"))</x:f>
      </x:c>
      <x:c r="E16" s="18" t="str">
        <x:f>IF(A16="","",IF(ISNUMBER(D16),IF(D16&lt;TODAY(),"Expired",IF(D16&lt;=TODAY()+7,"Expiring Soon","Active")),"Check Duration"))</x:f>
      </x:c>
      <x:c r="F16" s="18"/>
      <x:c r="G16" s="18"/>
      <x:c r="H16" s="18"/>
      <x:c r="I16" s="18"/>
      <x:c r="J16" s="18"/>
      <x:c r="K16" s="18" t="str">
        <x:f>IF(A16="","",IF(E16="Expired","",IF(E16="Check Duration","",COUNTIFS($A$5:$A$204,"&lt;"&amp;A16,$E$5:$E$204,"&lt;&gt;Expired",$E$5:$E$204,"&lt;&gt;Check Duration")+COUNTIFS($A$5:A16,A16,$E$5:E16,"&lt;&gt;Expired",$E$5:E16,"&lt;&gt;Check Duration"))))</x:f>
      </x:c>
      <x:c r="L16" s="18" t="str">
        <x:f>IF(A16="","",IFERROR(TEXTJOIN("; ",TRUE,FILTER('Benefit Resets'!$J$5:$J$204,'Benefit Resets'!$A$5:$A$204=A16,'Benefit Resets'!$L$5:$L$204="Yes")),""))</x:f>
      </x:c>
      <x:c r="M16" s="18" t="str">
        <x:f>IF(A16="","",IF(L16="",G16,G16&amp;" | "&amp;L16))</x:f>
      </x:c>
    </x:row>
    <x:row r="17">
      <x:c r="A17" s="18"/>
      <x:c r="B17" s="19"/>
      <x:c r="C17" s="18"/>
      <x:c r="D17" s="19" t="str">
        <x:f>IF(A17="","",IFERROR(B17+VLOOKUP(C17,Lists!$A$2:$B$101,2,FALSE),"Check duration"))</x:f>
      </x:c>
      <x:c r="E17" s="18" t="str">
        <x:f>IF(A17="","",IF(ISNUMBER(D17),IF(D17&lt;TODAY(),"Expired",IF(D17&lt;=TODAY()+7,"Expiring Soon","Active")),"Check Duration"))</x:f>
      </x:c>
      <x:c r="F17" s="18"/>
      <x:c r="G17" s="18"/>
      <x:c r="H17" s="18"/>
      <x:c r="I17" s="18"/>
      <x:c r="J17" s="18"/>
      <x:c r="K17" s="18" t="str">
        <x:f>IF(A17="","",IF(E17="Expired","",IF(E17="Check Duration","",COUNTIFS($A$5:$A$204,"&lt;"&amp;A17,$E$5:$E$204,"&lt;&gt;Expired",$E$5:$E$204,"&lt;&gt;Check Duration")+COUNTIFS($A$5:A17,A17,$E$5:E17,"&lt;&gt;Expired",$E$5:E17,"&lt;&gt;Check Duration"))))</x:f>
      </x:c>
      <x:c r="L17" s="18" t="str">
        <x:f>IF(A17="","",IFERROR(TEXTJOIN("; ",TRUE,FILTER('Benefit Resets'!$J$5:$J$204,'Benefit Resets'!$A$5:$A$204=A17,'Benefit Resets'!$L$5:$L$204="Yes")),""))</x:f>
      </x:c>
      <x:c r="M17" s="18" t="str">
        <x:f>IF(A17="","",IF(L17="",G17,G17&amp;" | "&amp;L17))</x:f>
      </x:c>
    </x:row>
    <x:row r="18">
      <x:c r="A18" s="18"/>
      <x:c r="B18" s="19"/>
      <x:c r="C18" s="18"/>
      <x:c r="D18" s="19" t="str">
        <x:f>IF(A18="","",IFERROR(B18+VLOOKUP(C18,Lists!$A$2:$B$101,2,FALSE),"Check duration"))</x:f>
      </x:c>
      <x:c r="E18" s="18" t="str">
        <x:f>IF(A18="","",IF(ISNUMBER(D18),IF(D18&lt;TODAY(),"Expired",IF(D18&lt;=TODAY()+7,"Expiring Soon","Active")),"Check Duration"))</x:f>
      </x:c>
      <x:c r="F18" s="18"/>
      <x:c r="G18" s="18"/>
      <x:c r="H18" s="18"/>
      <x:c r="I18" s="18"/>
      <x:c r="J18" s="18"/>
      <x:c r="K18" s="18" t="str">
        <x:f>IF(A18="","",IF(E18="Expired","",IF(E18="Check Duration","",COUNTIFS($A$5:$A$204,"&lt;"&amp;A18,$E$5:$E$204,"&lt;&gt;Expired",$E$5:$E$204,"&lt;&gt;Check Duration")+COUNTIFS($A$5:A18,A18,$E$5:E18,"&lt;&gt;Expired",$E$5:E18,"&lt;&gt;Check Duration"))))</x:f>
      </x:c>
      <x:c r="L18" s="18" t="str">
        <x:f>IF(A18="","",IFERROR(TEXTJOIN("; ",TRUE,FILTER('Benefit Resets'!$J$5:$J$204,'Benefit Resets'!$A$5:$A$204=A18,'Benefit Resets'!$L$5:$L$204="Yes")),""))</x:f>
      </x:c>
      <x:c r="M18" s="18" t="str">
        <x:f>IF(A18="","",IF(L18="",G18,G18&amp;" | "&amp;L18))</x:f>
      </x:c>
    </x:row>
    <x:row r="19">
      <x:c r="A19" s="18"/>
      <x:c r="B19" s="19"/>
      <x:c r="C19" s="18"/>
      <x:c r="D19" s="19" t="str">
        <x:f>IF(A19="","",IFERROR(B19+VLOOKUP(C19,Lists!$A$2:$B$101,2,FALSE),"Check duration"))</x:f>
      </x:c>
      <x:c r="E19" s="18" t="str">
        <x:f>IF(A19="","",IF(ISNUMBER(D19),IF(D19&lt;TODAY(),"Expired",IF(D19&lt;=TODAY()+7,"Expiring Soon","Active")),"Check Duration"))</x:f>
      </x:c>
      <x:c r="F19" s="18"/>
      <x:c r="G19" s="18"/>
      <x:c r="H19" s="18"/>
      <x:c r="I19" s="18"/>
      <x:c r="J19" s="18"/>
      <x:c r="K19" s="18" t="str">
        <x:f>IF(A19="","",IF(E19="Expired","",IF(E19="Check Duration","",COUNTIFS($A$5:$A$204,"&lt;"&amp;A19,$E$5:$E$204,"&lt;&gt;Expired",$E$5:$E$204,"&lt;&gt;Check Duration")+COUNTIFS($A$5:A19,A19,$E$5:E19,"&lt;&gt;Expired",$E$5:E19,"&lt;&gt;Check Duration"))))</x:f>
      </x:c>
      <x:c r="L19" s="18" t="str">
        <x:f>IF(A19="","",IFERROR(TEXTJOIN("; ",TRUE,FILTER('Benefit Resets'!$J$5:$J$204,'Benefit Resets'!$A$5:$A$204=A19,'Benefit Resets'!$L$5:$L$204="Yes")),""))</x:f>
      </x:c>
      <x:c r="M19" s="18" t="str">
        <x:f>IF(A19="","",IF(L19="",G19,G19&amp;" | "&amp;L19))</x:f>
      </x:c>
    </x:row>
    <x:row r="20">
      <x:c r="A20" s="18"/>
      <x:c r="B20" s="19"/>
      <x:c r="C20" s="18"/>
      <x:c r="D20" s="19" t="str">
        <x:f>IF(A20="","",IFERROR(B20+VLOOKUP(C20,Lists!$A$2:$B$101,2,FALSE),"Check duration"))</x:f>
      </x:c>
      <x:c r="E20" s="18" t="str">
        <x:f>IF(A20="","",IF(ISNUMBER(D20),IF(D20&lt;TODAY(),"Expired",IF(D20&lt;=TODAY()+7,"Expiring Soon","Active")),"Check Duration"))</x:f>
      </x:c>
      <x:c r="F20" s="18"/>
      <x:c r="G20" s="18"/>
      <x:c r="H20" s="18"/>
      <x:c r="I20" s="18"/>
      <x:c r="J20" s="18"/>
      <x:c r="K20" s="18" t="str">
        <x:f>IF(A20="","",IF(E20="Expired","",IF(E20="Check Duration","",COUNTIFS($A$5:$A$204,"&lt;"&amp;A20,$E$5:$E$204,"&lt;&gt;Expired",$E$5:$E$204,"&lt;&gt;Check Duration")+COUNTIFS($A$5:A20,A20,$E$5:E20,"&lt;&gt;Expired",$E$5:E20,"&lt;&gt;Check Duration"))))</x:f>
      </x:c>
      <x:c r="L20" s="18" t="str">
        <x:f>IF(A20="","",IFERROR(TEXTJOIN("; ",TRUE,FILTER('Benefit Resets'!$J$5:$J$204,'Benefit Resets'!$A$5:$A$204=A20,'Benefit Resets'!$L$5:$L$204="Yes")),""))</x:f>
      </x:c>
      <x:c r="M20" s="18" t="str">
        <x:f>IF(A20="","",IF(L20="",G20,G20&amp;" | "&amp;L20))</x:f>
      </x:c>
    </x:row>
    <x:row r="21">
      <x:c r="A21" s="18"/>
      <x:c r="B21" s="19"/>
      <x:c r="C21" s="18"/>
      <x:c r="D21" s="19" t="str">
        <x:f>IF(A21="","",IFERROR(B21+VLOOKUP(C21,Lists!$A$2:$B$101,2,FALSE),"Check duration"))</x:f>
      </x:c>
      <x:c r="E21" s="18" t="str">
        <x:f>IF(A21="","",IF(ISNUMBER(D21),IF(D21&lt;TODAY(),"Expired",IF(D21&lt;=TODAY()+7,"Expiring Soon","Active")),"Check Duration"))</x:f>
      </x:c>
      <x:c r="F21" s="18"/>
      <x:c r="G21" s="18"/>
      <x:c r="H21" s="18"/>
      <x:c r="I21" s="18"/>
      <x:c r="J21" s="18"/>
      <x:c r="K21" s="18" t="str">
        <x:f>IF(A21="","",IF(E21="Expired","",IF(E21="Check Duration","",COUNTIFS($A$5:$A$204,"&lt;"&amp;A21,$E$5:$E$204,"&lt;&gt;Expired",$E$5:$E$204,"&lt;&gt;Check Duration")+COUNTIFS($A$5:A21,A21,$E$5:E21,"&lt;&gt;Expired",$E$5:E21,"&lt;&gt;Check Duration"))))</x:f>
      </x:c>
      <x:c r="L21" s="18" t="str">
        <x:f>IF(A21="","",IFERROR(TEXTJOIN("; ",TRUE,FILTER('Benefit Resets'!$J$5:$J$204,'Benefit Resets'!$A$5:$A$204=A21,'Benefit Resets'!$L$5:$L$204="Yes")),""))</x:f>
      </x:c>
      <x:c r="M21" s="18" t="str">
        <x:f>IF(A21="","",IF(L21="",G21,G21&amp;" | "&amp;L21))</x:f>
      </x:c>
    </x:row>
    <x:row r="22">
      <x:c r="A22" s="18"/>
      <x:c r="B22" s="19"/>
      <x:c r="C22" s="18"/>
      <x:c r="D22" s="19" t="str">
        <x:f>IF(A22="","",IFERROR(B22+VLOOKUP(C22,Lists!$A$2:$B$101,2,FALSE),"Check duration"))</x:f>
      </x:c>
      <x:c r="E22" s="18" t="str">
        <x:f>IF(A22="","",IF(ISNUMBER(D22),IF(D22&lt;TODAY(),"Expired",IF(D22&lt;=TODAY()+7,"Expiring Soon","Active")),"Check Duration"))</x:f>
      </x:c>
      <x:c r="F22" s="18"/>
      <x:c r="G22" s="18"/>
      <x:c r="H22" s="18"/>
      <x:c r="I22" s="18"/>
      <x:c r="J22" s="18"/>
      <x:c r="K22" s="18" t="str">
        <x:f>IF(A22="","",IF(E22="Expired","",IF(E22="Check Duration","",COUNTIFS($A$5:$A$204,"&lt;"&amp;A22,$E$5:$E$204,"&lt;&gt;Expired",$E$5:$E$204,"&lt;&gt;Check Duration")+COUNTIFS($A$5:A22,A22,$E$5:E22,"&lt;&gt;Expired",$E$5:E22,"&lt;&gt;Check Duration"))))</x:f>
      </x:c>
      <x:c r="L22" s="18" t="str">
        <x:f>IF(A22="","",IFERROR(TEXTJOIN("; ",TRUE,FILTER('Benefit Resets'!$J$5:$J$204,'Benefit Resets'!$A$5:$A$204=A22,'Benefit Resets'!$L$5:$L$204="Yes")),""))</x:f>
      </x:c>
      <x:c r="M22" s="18" t="str">
        <x:f>IF(A22="","",IF(L22="",G22,G22&amp;" | "&amp;L22))</x:f>
      </x:c>
    </x:row>
    <x:row r="23">
      <x:c r="A23" s="18"/>
      <x:c r="B23" s="19"/>
      <x:c r="C23" s="18"/>
      <x:c r="D23" s="19" t="str">
        <x:f>IF(A23="","",IFERROR(B23+VLOOKUP(C23,Lists!$A$2:$B$101,2,FALSE),"Check duration"))</x:f>
      </x:c>
      <x:c r="E23" s="18" t="str">
        <x:f>IF(A23="","",IF(ISNUMBER(D23),IF(D23&lt;TODAY(),"Expired",IF(D23&lt;=TODAY()+7,"Expiring Soon","Active")),"Check Duration"))</x:f>
      </x:c>
      <x:c r="F23" s="18"/>
      <x:c r="G23" s="18"/>
      <x:c r="H23" s="18"/>
      <x:c r="I23" s="18"/>
      <x:c r="J23" s="18"/>
      <x:c r="K23" s="18" t="str">
        <x:f>IF(A23="","",IF(E23="Expired","",IF(E23="Check Duration","",COUNTIFS($A$5:$A$204,"&lt;"&amp;A23,$E$5:$E$204,"&lt;&gt;Expired",$E$5:$E$204,"&lt;&gt;Check Duration")+COUNTIFS($A$5:A23,A23,$E$5:E23,"&lt;&gt;Expired",$E$5:E23,"&lt;&gt;Check Duration"))))</x:f>
      </x:c>
      <x:c r="L23" s="18" t="str">
        <x:f>IF(A23="","",IFERROR(TEXTJOIN("; ",TRUE,FILTER('Benefit Resets'!$J$5:$J$204,'Benefit Resets'!$A$5:$A$204=A23,'Benefit Resets'!$L$5:$L$204="Yes")),""))</x:f>
      </x:c>
      <x:c r="M23" s="18" t="str">
        <x:f>IF(A23="","",IF(L23="",G23,G23&amp;" | "&amp;L23))</x:f>
      </x:c>
    </x:row>
    <x:row r="24">
      <x:c r="A24" s="18"/>
      <x:c r="B24" s="19"/>
      <x:c r="C24" s="18"/>
      <x:c r="D24" s="19" t="str">
        <x:f>IF(A24="","",IFERROR(B24+VLOOKUP(C24,Lists!$A$2:$B$101,2,FALSE),"Check duration"))</x:f>
      </x:c>
      <x:c r="E24" s="18" t="str">
        <x:f>IF(A24="","",IF(ISNUMBER(D24),IF(D24&lt;TODAY(),"Expired",IF(D24&lt;=TODAY()+7,"Expiring Soon","Active")),"Check Duration"))</x:f>
      </x:c>
      <x:c r="F24" s="18"/>
      <x:c r="G24" s="18"/>
      <x:c r="H24" s="18"/>
      <x:c r="I24" s="18"/>
      <x:c r="J24" s="18"/>
      <x:c r="K24" s="18" t="str">
        <x:f>IF(A24="","",IF(E24="Expired","",IF(E24="Check Duration","",COUNTIFS($A$5:$A$204,"&lt;"&amp;A24,$E$5:$E$204,"&lt;&gt;Expired",$E$5:$E$204,"&lt;&gt;Check Duration")+COUNTIFS($A$5:A24,A24,$E$5:E24,"&lt;&gt;Expired",$E$5:E24,"&lt;&gt;Check Duration"))))</x:f>
      </x:c>
      <x:c r="L24" s="18" t="str">
        <x:f>IF(A24="","",IFERROR(TEXTJOIN("; ",TRUE,FILTER('Benefit Resets'!$J$5:$J$204,'Benefit Resets'!$A$5:$A$204=A24,'Benefit Resets'!$L$5:$L$204="Yes")),""))</x:f>
      </x:c>
      <x:c r="M24" s="18" t="str">
        <x:f>IF(A24="","",IF(L24="",G24,G24&amp;" | "&amp;L24))</x:f>
      </x:c>
    </x:row>
    <x:row r="25">
      <x:c r="A25" s="18"/>
      <x:c r="B25" s="19"/>
      <x:c r="C25" s="18"/>
      <x:c r="D25" s="19" t="str">
        <x:f>IF(A25="","",IFERROR(B25+VLOOKUP(C25,Lists!$A$2:$B$101,2,FALSE),"Check duration"))</x:f>
      </x:c>
      <x:c r="E25" s="18" t="str">
        <x:f>IF(A25="","",IF(ISNUMBER(D25),IF(D25&lt;TODAY(),"Expired",IF(D25&lt;=TODAY()+7,"Expiring Soon","Active")),"Check Duration"))</x:f>
      </x:c>
      <x:c r="F25" s="18"/>
      <x:c r="G25" s="18"/>
      <x:c r="H25" s="18"/>
      <x:c r="I25" s="18"/>
      <x:c r="J25" s="18"/>
      <x:c r="K25" s="18" t="str">
        <x:f>IF(A25="","",IF(E25="Expired","",IF(E25="Check Duration","",COUNTIFS($A$5:$A$204,"&lt;"&amp;A25,$E$5:$E$204,"&lt;&gt;Expired",$E$5:$E$204,"&lt;&gt;Check Duration")+COUNTIFS($A$5:A25,A25,$E$5:E25,"&lt;&gt;Expired",$E$5:E25,"&lt;&gt;Check Duration"))))</x:f>
      </x:c>
      <x:c r="L25" s="18" t="str">
        <x:f>IF(A25="","",IFERROR(TEXTJOIN("; ",TRUE,FILTER('Benefit Resets'!$J$5:$J$204,'Benefit Resets'!$A$5:$A$204=A25,'Benefit Resets'!$L$5:$L$204="Yes")),""))</x:f>
      </x:c>
      <x:c r="M25" s="18" t="str">
        <x:f>IF(A25="","",IF(L25="",G25,G25&amp;" | "&amp;L25))</x:f>
      </x:c>
    </x:row>
    <x:row r="26">
      <x:c r="A26" s="18"/>
      <x:c r="B26" s="19"/>
      <x:c r="C26" s="18"/>
      <x:c r="D26" s="19" t="str">
        <x:f>IF(A26="","",IFERROR(B26+VLOOKUP(C26,Lists!$A$2:$B$101,2,FALSE),"Check duration"))</x:f>
      </x:c>
      <x:c r="E26" s="18" t="str">
        <x:f>IF(A26="","",IF(ISNUMBER(D26),IF(D26&lt;TODAY(),"Expired",IF(D26&lt;=TODAY()+7,"Expiring Soon","Active")),"Check Duration"))</x:f>
      </x:c>
      <x:c r="F26" s="18"/>
      <x:c r="G26" s="18"/>
      <x:c r="H26" s="18"/>
      <x:c r="I26" s="18"/>
      <x:c r="J26" s="18"/>
      <x:c r="K26" s="18" t="str">
        <x:f>IF(A26="","",IF(E26="Expired","",IF(E26="Check Duration","",COUNTIFS($A$5:$A$204,"&lt;"&amp;A26,$E$5:$E$204,"&lt;&gt;Expired",$E$5:$E$204,"&lt;&gt;Check Duration")+COUNTIFS($A$5:A26,A26,$E$5:E26,"&lt;&gt;Expired",$E$5:E26,"&lt;&gt;Check Duration"))))</x:f>
      </x:c>
      <x:c r="L26" s="18" t="str">
        <x:f>IF(A26="","",IFERROR(TEXTJOIN("; ",TRUE,FILTER('Benefit Resets'!$J$5:$J$204,'Benefit Resets'!$A$5:$A$204=A26,'Benefit Resets'!$L$5:$L$204="Yes")),""))</x:f>
      </x:c>
      <x:c r="M26" s="18" t="str">
        <x:f>IF(A26="","",IF(L26="",G26,G26&amp;" | "&amp;L26))</x:f>
      </x:c>
    </x:row>
    <x:row r="27">
      <x:c r="A27" s="18"/>
      <x:c r="B27" s="19"/>
      <x:c r="C27" s="18"/>
      <x:c r="D27" s="19" t="str">
        <x:f>IF(A27="","",IFERROR(B27+VLOOKUP(C27,Lists!$A$2:$B$101,2,FALSE),"Check duration"))</x:f>
      </x:c>
      <x:c r="E27" s="18" t="str">
        <x:f>IF(A27="","",IF(ISNUMBER(D27),IF(D27&lt;TODAY(),"Expired",IF(D27&lt;=TODAY()+7,"Expiring Soon","Active")),"Check Duration"))</x:f>
      </x:c>
      <x:c r="F27" s="18"/>
      <x:c r="G27" s="18"/>
      <x:c r="H27" s="18"/>
      <x:c r="I27" s="18"/>
      <x:c r="J27" s="18"/>
      <x:c r="K27" s="18" t="str">
        <x:f>IF(A27="","",IF(E27="Expired","",IF(E27="Check Duration","",COUNTIFS($A$5:$A$204,"&lt;"&amp;A27,$E$5:$E$204,"&lt;&gt;Expired",$E$5:$E$204,"&lt;&gt;Check Duration")+COUNTIFS($A$5:A27,A27,$E$5:E27,"&lt;&gt;Expired",$E$5:E27,"&lt;&gt;Check Duration"))))</x:f>
      </x:c>
      <x:c r="L27" s="18" t="str">
        <x:f>IF(A27="","",IFERROR(TEXTJOIN("; ",TRUE,FILTER('Benefit Resets'!$J$5:$J$204,'Benefit Resets'!$A$5:$A$204=A27,'Benefit Resets'!$L$5:$L$204="Yes")),""))</x:f>
      </x:c>
      <x:c r="M27" s="18" t="str">
        <x:f>IF(A27="","",IF(L27="",G27,G27&amp;" | "&amp;L27))</x:f>
      </x:c>
    </x:row>
    <x:row r="28">
      <x:c r="A28" s="18"/>
      <x:c r="B28" s="19"/>
      <x:c r="C28" s="18"/>
      <x:c r="D28" s="19" t="str">
        <x:f>IF(A28="","",IFERROR(B28+VLOOKUP(C28,Lists!$A$2:$B$101,2,FALSE),"Check duration"))</x:f>
      </x:c>
      <x:c r="E28" s="18" t="str">
        <x:f>IF(A28="","",IF(ISNUMBER(D28),IF(D28&lt;TODAY(),"Expired",IF(D28&lt;=TODAY()+7,"Expiring Soon","Active")),"Check Duration"))</x:f>
      </x:c>
      <x:c r="F28" s="18"/>
      <x:c r="G28" s="18"/>
      <x:c r="H28" s="18"/>
      <x:c r="I28" s="18"/>
      <x:c r="J28" s="18"/>
      <x:c r="K28" s="18" t="str">
        <x:f>IF(A28="","",IF(E28="Expired","",IF(E28="Check Duration","",COUNTIFS($A$5:$A$204,"&lt;"&amp;A28,$E$5:$E$204,"&lt;&gt;Expired",$E$5:$E$204,"&lt;&gt;Check Duration")+COUNTIFS($A$5:A28,A28,$E$5:E28,"&lt;&gt;Expired",$E$5:E28,"&lt;&gt;Check Duration"))))</x:f>
      </x:c>
      <x:c r="L28" s="18" t="str">
        <x:f>IF(A28="","",IFERROR(TEXTJOIN("; ",TRUE,FILTER('Benefit Resets'!$J$5:$J$204,'Benefit Resets'!$A$5:$A$204=A28,'Benefit Resets'!$L$5:$L$204="Yes")),""))</x:f>
      </x:c>
      <x:c r="M28" s="18" t="str">
        <x:f>IF(A28="","",IF(L28="",G28,G28&amp;" | "&amp;L28))</x:f>
      </x:c>
    </x:row>
    <x:row r="29">
      <x:c r="A29" s="18"/>
      <x:c r="B29" s="19"/>
      <x:c r="C29" s="18"/>
      <x:c r="D29" s="19" t="str">
        <x:f>IF(A29="","",IFERROR(B29+VLOOKUP(C29,Lists!$A$2:$B$101,2,FALSE),"Check duration"))</x:f>
      </x:c>
      <x:c r="E29" s="18" t="str">
        <x:f>IF(A29="","",IF(ISNUMBER(D29),IF(D29&lt;TODAY(),"Expired",IF(D29&lt;=TODAY()+7,"Expiring Soon","Active")),"Check Duration"))</x:f>
      </x:c>
      <x:c r="F29" s="18"/>
      <x:c r="G29" s="18"/>
      <x:c r="H29" s="18"/>
      <x:c r="I29" s="18"/>
      <x:c r="J29" s="18"/>
      <x:c r="K29" s="18" t="str">
        <x:f>IF(A29="","",IF(E29="Expired","",IF(E29="Check Duration","",COUNTIFS($A$5:$A$204,"&lt;"&amp;A29,$E$5:$E$204,"&lt;&gt;Expired",$E$5:$E$204,"&lt;&gt;Check Duration")+COUNTIFS($A$5:A29,A29,$E$5:E29,"&lt;&gt;Expired",$E$5:E29,"&lt;&gt;Check Duration"))))</x:f>
      </x:c>
      <x:c r="L29" s="18" t="str">
        <x:f>IF(A29="","",IFERROR(TEXTJOIN("; ",TRUE,FILTER('Benefit Resets'!$J$5:$J$204,'Benefit Resets'!$A$5:$A$204=A29,'Benefit Resets'!$L$5:$L$204="Yes")),""))</x:f>
      </x:c>
      <x:c r="M29" s="18" t="str">
        <x:f>IF(A29="","",IF(L29="",G29,G29&amp;" | "&amp;L29))</x:f>
      </x:c>
    </x:row>
    <x:row r="30">
      <x:c r="A30" s="18"/>
      <x:c r="B30" s="19"/>
      <x:c r="C30" s="18"/>
      <x:c r="D30" s="19" t="str">
        <x:f>IF(A30="","",IFERROR(B30+VLOOKUP(C30,Lists!$A$2:$B$101,2,FALSE),"Check duration"))</x:f>
      </x:c>
      <x:c r="E30" s="18" t="str">
        <x:f>IF(A30="","",IF(ISNUMBER(D30),IF(D30&lt;TODAY(),"Expired",IF(D30&lt;=TODAY()+7,"Expiring Soon","Active")),"Check Duration"))</x:f>
      </x:c>
      <x:c r="F30" s="18"/>
      <x:c r="G30" s="18"/>
      <x:c r="H30" s="18"/>
      <x:c r="I30" s="18"/>
      <x:c r="J30" s="18"/>
      <x:c r="K30" s="18" t="str">
        <x:f>IF(A30="","",IF(E30="Expired","",IF(E30="Check Duration","",COUNTIFS($A$5:$A$204,"&lt;"&amp;A30,$E$5:$E$204,"&lt;&gt;Expired",$E$5:$E$204,"&lt;&gt;Check Duration")+COUNTIFS($A$5:A30,A30,$E$5:E30,"&lt;&gt;Expired",$E$5:E30,"&lt;&gt;Check Duration"))))</x:f>
      </x:c>
      <x:c r="L30" s="18" t="str">
        <x:f>IF(A30="","",IFERROR(TEXTJOIN("; ",TRUE,FILTER('Benefit Resets'!$J$5:$J$204,'Benefit Resets'!$A$5:$A$204=A30,'Benefit Resets'!$L$5:$L$204="Yes")),""))</x:f>
      </x:c>
      <x:c r="M30" s="18" t="str">
        <x:f>IF(A30="","",IF(L30="",G30,G30&amp;" | "&amp;L30))</x:f>
      </x:c>
    </x:row>
    <x:row r="31">
      <x:c r="A31" s="18"/>
      <x:c r="B31" s="19"/>
      <x:c r="C31" s="18"/>
      <x:c r="D31" s="19" t="str">
        <x:f>IF(A31="","",IFERROR(B31+VLOOKUP(C31,Lists!$A$2:$B$101,2,FALSE),"Check duration"))</x:f>
      </x:c>
      <x:c r="E31" s="18" t="str">
        <x:f>IF(A31="","",IF(ISNUMBER(D31),IF(D31&lt;TODAY(),"Expired",IF(D31&lt;=TODAY()+7,"Expiring Soon","Active")),"Check Duration"))</x:f>
      </x:c>
      <x:c r="F31" s="18"/>
      <x:c r="G31" s="18"/>
      <x:c r="H31" s="18"/>
      <x:c r="I31" s="18"/>
      <x:c r="J31" s="18"/>
      <x:c r="K31" s="18" t="str">
        <x:f>IF(A31="","",IF(E31="Expired","",IF(E31="Check Duration","",COUNTIFS($A$5:$A$204,"&lt;"&amp;A31,$E$5:$E$204,"&lt;&gt;Expired",$E$5:$E$204,"&lt;&gt;Check Duration")+COUNTIFS($A$5:A31,A31,$E$5:E31,"&lt;&gt;Expired",$E$5:E31,"&lt;&gt;Check Duration"))))</x:f>
      </x:c>
      <x:c r="L31" s="18" t="str">
        <x:f>IF(A31="","",IFERROR(TEXTJOIN("; ",TRUE,FILTER('Benefit Resets'!$J$5:$J$204,'Benefit Resets'!$A$5:$A$204=A31,'Benefit Resets'!$L$5:$L$204="Yes")),""))</x:f>
      </x:c>
      <x:c r="M31" s="18" t="str">
        <x:f>IF(A31="","",IF(L31="",G31,G31&amp;" | "&amp;L31))</x:f>
      </x:c>
    </x:row>
    <x:row r="32">
      <x:c r="A32" s="18"/>
      <x:c r="B32" s="19"/>
      <x:c r="C32" s="18"/>
      <x:c r="D32" s="19" t="str">
        <x:f>IF(A32="","",IFERROR(B32+VLOOKUP(C32,Lists!$A$2:$B$101,2,FALSE),"Check duration"))</x:f>
      </x:c>
      <x:c r="E32" s="18" t="str">
        <x:f>IF(A32="","",IF(ISNUMBER(D32),IF(D32&lt;TODAY(),"Expired",IF(D32&lt;=TODAY()+7,"Expiring Soon","Active")),"Check Duration"))</x:f>
      </x:c>
      <x:c r="F32" s="18"/>
      <x:c r="G32" s="18"/>
      <x:c r="H32" s="18"/>
      <x:c r="I32" s="18"/>
      <x:c r="J32" s="18"/>
      <x:c r="K32" s="18" t="str">
        <x:f>IF(A32="","",IF(E32="Expired","",IF(E32="Check Duration","",COUNTIFS($A$5:$A$204,"&lt;"&amp;A32,$E$5:$E$204,"&lt;&gt;Expired",$E$5:$E$204,"&lt;&gt;Check Duration")+COUNTIFS($A$5:A32,A32,$E$5:E32,"&lt;&gt;Expired",$E$5:E32,"&lt;&gt;Check Duration"))))</x:f>
      </x:c>
      <x:c r="L32" s="18" t="str">
        <x:f>IF(A32="","",IFERROR(TEXTJOIN("; ",TRUE,FILTER('Benefit Resets'!$J$5:$J$204,'Benefit Resets'!$A$5:$A$204=A32,'Benefit Resets'!$L$5:$L$204="Yes")),""))</x:f>
      </x:c>
      <x:c r="M32" s="18" t="str">
        <x:f>IF(A32="","",IF(L32="",G32,G32&amp;" | "&amp;L32))</x:f>
      </x:c>
    </x:row>
    <x:row r="33">
      <x:c r="A33" s="18"/>
      <x:c r="B33" s="19"/>
      <x:c r="C33" s="18"/>
      <x:c r="D33" s="19" t="str">
        <x:f>IF(A33="","",IFERROR(B33+VLOOKUP(C33,Lists!$A$2:$B$101,2,FALSE),"Check duration"))</x:f>
      </x:c>
      <x:c r="E33" s="18" t="str">
        <x:f>IF(A33="","",IF(ISNUMBER(D33),IF(D33&lt;TODAY(),"Expired",IF(D33&lt;=TODAY()+7,"Expiring Soon","Active")),"Check Duration"))</x:f>
      </x:c>
      <x:c r="F33" s="18"/>
      <x:c r="G33" s="18"/>
      <x:c r="H33" s="18"/>
      <x:c r="I33" s="18"/>
      <x:c r="J33" s="18"/>
      <x:c r="K33" s="18" t="str">
        <x:f>IF(A33="","",IF(E33="Expired","",IF(E33="Check Duration","",COUNTIFS($A$5:$A$204,"&lt;"&amp;A33,$E$5:$E$204,"&lt;&gt;Expired",$E$5:$E$204,"&lt;&gt;Check Duration")+COUNTIFS($A$5:A33,A33,$E$5:E33,"&lt;&gt;Expired",$E$5:E33,"&lt;&gt;Check Duration"))))</x:f>
      </x:c>
      <x:c r="L33" s="18" t="str">
        <x:f>IF(A33="","",IFERROR(TEXTJOIN("; ",TRUE,FILTER('Benefit Resets'!$J$5:$J$204,'Benefit Resets'!$A$5:$A$204=A33,'Benefit Resets'!$L$5:$L$204="Yes")),""))</x:f>
      </x:c>
      <x:c r="M33" s="18" t="str">
        <x:f>IF(A33="","",IF(L33="",G33,G33&amp;" | "&amp;L33))</x:f>
      </x:c>
    </x:row>
    <x:row r="34">
      <x:c r="A34" s="18"/>
      <x:c r="B34" s="19"/>
      <x:c r="C34" s="18"/>
      <x:c r="D34" s="19" t="str">
        <x:f>IF(A34="","",IFERROR(B34+VLOOKUP(C34,Lists!$A$2:$B$101,2,FALSE),"Check duration"))</x:f>
      </x:c>
      <x:c r="E34" s="18" t="str">
        <x:f>IF(A34="","",IF(ISNUMBER(D34),IF(D34&lt;TODAY(),"Expired",IF(D34&lt;=TODAY()+7,"Expiring Soon","Active")),"Check Duration"))</x:f>
      </x:c>
      <x:c r="F34" s="18"/>
      <x:c r="G34" s="18"/>
      <x:c r="H34" s="18"/>
      <x:c r="I34" s="18"/>
      <x:c r="J34" s="18"/>
      <x:c r="K34" s="18" t="str">
        <x:f>IF(A34="","",IF(E34="Expired","",IF(E34="Check Duration","",COUNTIFS($A$5:$A$204,"&lt;"&amp;A34,$E$5:$E$204,"&lt;&gt;Expired",$E$5:$E$204,"&lt;&gt;Check Duration")+COUNTIFS($A$5:A34,A34,$E$5:E34,"&lt;&gt;Expired",$E$5:E34,"&lt;&gt;Check Duration"))))</x:f>
      </x:c>
      <x:c r="L34" s="18" t="str">
        <x:f>IF(A34="","",IFERROR(TEXTJOIN("; ",TRUE,FILTER('Benefit Resets'!$J$5:$J$204,'Benefit Resets'!$A$5:$A$204=A34,'Benefit Resets'!$L$5:$L$204="Yes")),""))</x:f>
      </x:c>
      <x:c r="M34" s="18" t="str">
        <x:f>IF(A34="","",IF(L34="",G34,G34&amp;" | "&amp;L34))</x:f>
      </x:c>
    </x:row>
    <x:row r="35">
      <x:c r="A35" s="18"/>
      <x:c r="B35" s="19"/>
      <x:c r="C35" s="18"/>
      <x:c r="D35" s="19" t="str">
        <x:f>IF(A35="","",IFERROR(B35+VLOOKUP(C35,Lists!$A$2:$B$101,2,FALSE),"Check duration"))</x:f>
      </x:c>
      <x:c r="E35" s="18" t="str">
        <x:f>IF(A35="","",IF(ISNUMBER(D35),IF(D35&lt;TODAY(),"Expired",IF(D35&lt;=TODAY()+7,"Expiring Soon","Active")),"Check Duration"))</x:f>
      </x:c>
      <x:c r="F35" s="18"/>
      <x:c r="G35" s="18"/>
      <x:c r="H35" s="18"/>
      <x:c r="I35" s="18"/>
      <x:c r="J35" s="18"/>
      <x:c r="K35" s="18" t="str">
        <x:f>IF(A35="","",IF(E35="Expired","",IF(E35="Check Duration","",COUNTIFS($A$5:$A$204,"&lt;"&amp;A35,$E$5:$E$204,"&lt;&gt;Expired",$E$5:$E$204,"&lt;&gt;Check Duration")+COUNTIFS($A$5:A35,A35,$E$5:E35,"&lt;&gt;Expired",$E$5:E35,"&lt;&gt;Check Duration"))))</x:f>
      </x:c>
      <x:c r="L35" s="18" t="str">
        <x:f>IF(A35="","",IFERROR(TEXTJOIN("; ",TRUE,FILTER('Benefit Resets'!$J$5:$J$204,'Benefit Resets'!$A$5:$A$204=A35,'Benefit Resets'!$L$5:$L$204="Yes")),""))</x:f>
      </x:c>
      <x:c r="M35" s="18" t="str">
        <x:f>IF(A35="","",IF(L35="",G35,G35&amp;" | "&amp;L35))</x:f>
      </x:c>
    </x:row>
    <x:row r="36">
      <x:c r="A36" s="18"/>
      <x:c r="B36" s="19"/>
      <x:c r="C36" s="18"/>
      <x:c r="D36" s="19" t="str">
        <x:f>IF(A36="","",IFERROR(B36+VLOOKUP(C36,Lists!$A$2:$B$101,2,FALSE),"Check duration"))</x:f>
      </x:c>
      <x:c r="E36" s="18" t="str">
        <x:f>IF(A36="","",IF(ISNUMBER(D36),IF(D36&lt;TODAY(),"Expired",IF(D36&lt;=TODAY()+7,"Expiring Soon","Active")),"Check Duration"))</x:f>
      </x:c>
      <x:c r="F36" s="18"/>
      <x:c r="G36" s="18"/>
      <x:c r="H36" s="18"/>
      <x:c r="I36" s="18"/>
      <x:c r="J36" s="18"/>
      <x:c r="K36" s="18" t="str">
        <x:f>IF(A36="","",IF(E36="Expired","",IF(E36="Check Duration","",COUNTIFS($A$5:$A$204,"&lt;"&amp;A36,$E$5:$E$204,"&lt;&gt;Expired",$E$5:$E$204,"&lt;&gt;Check Duration")+COUNTIFS($A$5:A36,A36,$E$5:E36,"&lt;&gt;Expired",$E$5:E36,"&lt;&gt;Check Duration"))))</x:f>
      </x:c>
      <x:c r="L36" s="18" t="str">
        <x:f>IF(A36="","",IFERROR(TEXTJOIN("; ",TRUE,FILTER('Benefit Resets'!$J$5:$J$204,'Benefit Resets'!$A$5:$A$204=A36,'Benefit Resets'!$L$5:$L$204="Yes")),""))</x:f>
      </x:c>
      <x:c r="M36" s="18" t="str">
        <x:f>IF(A36="","",IF(L36="",G36,G36&amp;" | "&amp;L36))</x:f>
      </x:c>
    </x:row>
    <x:row r="37">
      <x:c r="A37" s="18"/>
      <x:c r="B37" s="19"/>
      <x:c r="C37" s="18"/>
      <x:c r="D37" s="19" t="str">
        <x:f>IF(A37="","",IFERROR(B37+VLOOKUP(C37,Lists!$A$2:$B$101,2,FALSE),"Check duration"))</x:f>
      </x:c>
      <x:c r="E37" s="18" t="str">
        <x:f>IF(A37="","",IF(ISNUMBER(D37),IF(D37&lt;TODAY(),"Expired",IF(D37&lt;=TODAY()+7,"Expiring Soon","Active")),"Check Duration"))</x:f>
      </x:c>
      <x:c r="F37" s="18"/>
      <x:c r="G37" s="18"/>
      <x:c r="H37" s="18"/>
      <x:c r="I37" s="18"/>
      <x:c r="J37" s="18"/>
      <x:c r="K37" s="18" t="str">
        <x:f>IF(A37="","",IF(E37="Expired","",IF(E37="Check Duration","",COUNTIFS($A$5:$A$204,"&lt;"&amp;A37,$E$5:$E$204,"&lt;&gt;Expired",$E$5:$E$204,"&lt;&gt;Check Duration")+COUNTIFS($A$5:A37,A37,$E$5:E37,"&lt;&gt;Expired",$E$5:E37,"&lt;&gt;Check Duration"))))</x:f>
      </x:c>
      <x:c r="L37" s="18" t="str">
        <x:f>IF(A37="","",IFERROR(TEXTJOIN("; ",TRUE,FILTER('Benefit Resets'!$J$5:$J$204,'Benefit Resets'!$A$5:$A$204=A37,'Benefit Resets'!$L$5:$L$204="Yes")),""))</x:f>
      </x:c>
      <x:c r="M37" s="18" t="str">
        <x:f>IF(A37="","",IF(L37="",G37,G37&amp;" | "&amp;L37))</x:f>
      </x:c>
    </x:row>
    <x:row r="38">
      <x:c r="A38" s="18"/>
      <x:c r="B38" s="19"/>
      <x:c r="C38" s="18"/>
      <x:c r="D38" s="19" t="str">
        <x:f>IF(A38="","",IFERROR(B38+VLOOKUP(C38,Lists!$A$2:$B$101,2,FALSE),"Check duration"))</x:f>
      </x:c>
      <x:c r="E38" s="18" t="str">
        <x:f>IF(A38="","",IF(ISNUMBER(D38),IF(D38&lt;TODAY(),"Expired",IF(D38&lt;=TODAY()+7,"Expiring Soon","Active")),"Check Duration"))</x:f>
      </x:c>
      <x:c r="F38" s="18"/>
      <x:c r="G38" s="18"/>
      <x:c r="H38" s="18"/>
      <x:c r="I38" s="18"/>
      <x:c r="J38" s="18"/>
      <x:c r="K38" s="18" t="str">
        <x:f>IF(A38="","",IF(E38="Expired","",IF(E38="Check Duration","",COUNTIFS($A$5:$A$204,"&lt;"&amp;A38,$E$5:$E$204,"&lt;&gt;Expired",$E$5:$E$204,"&lt;&gt;Check Duration")+COUNTIFS($A$5:A38,A38,$E$5:E38,"&lt;&gt;Expired",$E$5:E38,"&lt;&gt;Check Duration"))))</x:f>
      </x:c>
      <x:c r="L38" s="18" t="str">
        <x:f>IF(A38="","",IFERROR(TEXTJOIN("; ",TRUE,FILTER('Benefit Resets'!$J$5:$J$204,'Benefit Resets'!$A$5:$A$204=A38,'Benefit Resets'!$L$5:$L$204="Yes")),""))</x:f>
      </x:c>
      <x:c r="M38" s="18" t="str">
        <x:f>IF(A38="","",IF(L38="",G38,G38&amp;" | "&amp;L38))</x:f>
      </x:c>
    </x:row>
    <x:row r="39">
      <x:c r="A39" s="18"/>
      <x:c r="B39" s="19"/>
      <x:c r="C39" s="18"/>
      <x:c r="D39" s="19" t="str">
        <x:f>IF(A39="","",IFERROR(B39+VLOOKUP(C39,Lists!$A$2:$B$101,2,FALSE),"Check duration"))</x:f>
      </x:c>
      <x:c r="E39" s="18" t="str">
        <x:f>IF(A39="","",IF(ISNUMBER(D39),IF(D39&lt;TODAY(),"Expired",IF(D39&lt;=TODAY()+7,"Expiring Soon","Active")),"Check Duration"))</x:f>
      </x:c>
      <x:c r="F39" s="18"/>
      <x:c r="G39" s="18"/>
      <x:c r="H39" s="18"/>
      <x:c r="I39" s="18"/>
      <x:c r="J39" s="18"/>
      <x:c r="K39" s="18" t="str">
        <x:f>IF(A39="","",IF(E39="Expired","",IF(E39="Check Duration","",COUNTIFS($A$5:$A$204,"&lt;"&amp;A39,$E$5:$E$204,"&lt;&gt;Expired",$E$5:$E$204,"&lt;&gt;Check Duration")+COUNTIFS($A$5:A39,A39,$E$5:E39,"&lt;&gt;Expired",$E$5:E39,"&lt;&gt;Check Duration"))))</x:f>
      </x:c>
      <x:c r="L39" s="18" t="str">
        <x:f>IF(A39="","",IFERROR(TEXTJOIN("; ",TRUE,FILTER('Benefit Resets'!$J$5:$J$204,'Benefit Resets'!$A$5:$A$204=A39,'Benefit Resets'!$L$5:$L$204="Yes")),""))</x:f>
      </x:c>
      <x:c r="M39" s="18" t="str">
        <x:f>IF(A39="","",IF(L39="",G39,G39&amp;" | "&amp;L39))</x:f>
      </x:c>
    </x:row>
    <x:row r="40">
      <x:c r="A40" s="18"/>
      <x:c r="B40" s="19"/>
      <x:c r="C40" s="18"/>
      <x:c r="D40" s="19" t="str">
        <x:f>IF(A40="","",IFERROR(B40+VLOOKUP(C40,Lists!$A$2:$B$101,2,FALSE),"Check duration"))</x:f>
      </x:c>
      <x:c r="E40" s="18" t="str">
        <x:f>IF(A40="","",IF(ISNUMBER(D40),IF(D40&lt;TODAY(),"Expired",IF(D40&lt;=TODAY()+7,"Expiring Soon","Active")),"Check Duration"))</x:f>
      </x:c>
      <x:c r="F40" s="18"/>
      <x:c r="G40" s="18"/>
      <x:c r="H40" s="18"/>
      <x:c r="I40" s="18"/>
      <x:c r="J40" s="18"/>
      <x:c r="K40" s="18" t="str">
        <x:f>IF(A40="","",IF(E40="Expired","",IF(E40="Check Duration","",COUNTIFS($A$5:$A$204,"&lt;"&amp;A40,$E$5:$E$204,"&lt;&gt;Expired",$E$5:$E$204,"&lt;&gt;Check Duration")+COUNTIFS($A$5:A40,A40,$E$5:E40,"&lt;&gt;Expired",$E$5:E40,"&lt;&gt;Check Duration"))))</x:f>
      </x:c>
      <x:c r="L40" s="18" t="str">
        <x:f>IF(A40="","",IFERROR(TEXTJOIN("; ",TRUE,FILTER('Benefit Resets'!$J$5:$J$204,'Benefit Resets'!$A$5:$A$204=A40,'Benefit Resets'!$L$5:$L$204="Yes")),""))</x:f>
      </x:c>
      <x:c r="M40" s="18" t="str">
        <x:f>IF(A40="","",IF(L40="",G40,G40&amp;" | "&amp;L40))</x:f>
      </x:c>
    </x:row>
    <x:row r="41">
      <x:c r="A41" s="18"/>
      <x:c r="B41" s="19"/>
      <x:c r="C41" s="18"/>
      <x:c r="D41" s="19" t="str">
        <x:f>IF(A41="","",IFERROR(B41+VLOOKUP(C41,Lists!$A$2:$B$101,2,FALSE),"Check duration"))</x:f>
      </x:c>
      <x:c r="E41" s="18" t="str">
        <x:f>IF(A41="","",IF(ISNUMBER(D41),IF(D41&lt;TODAY(),"Expired",IF(D41&lt;=TODAY()+7,"Expiring Soon","Active")),"Check Duration"))</x:f>
      </x:c>
      <x:c r="F41" s="18"/>
      <x:c r="G41" s="18"/>
      <x:c r="H41" s="18"/>
      <x:c r="I41" s="18"/>
      <x:c r="J41" s="18"/>
      <x:c r="K41" s="18" t="str">
        <x:f>IF(A41="","",IF(E41="Expired","",IF(E41="Check Duration","",COUNTIFS($A$5:$A$204,"&lt;"&amp;A41,$E$5:$E$204,"&lt;&gt;Expired",$E$5:$E$204,"&lt;&gt;Check Duration")+COUNTIFS($A$5:A41,A41,$E$5:E41,"&lt;&gt;Expired",$E$5:E41,"&lt;&gt;Check Duration"))))</x:f>
      </x:c>
      <x:c r="L41" s="18" t="str">
        <x:f>IF(A41="","",IFERROR(TEXTJOIN("; ",TRUE,FILTER('Benefit Resets'!$J$5:$J$204,'Benefit Resets'!$A$5:$A$204=A41,'Benefit Resets'!$L$5:$L$204="Yes")),""))</x:f>
      </x:c>
      <x:c r="M41" s="18" t="str">
        <x:f>IF(A41="","",IF(L41="",G41,G41&amp;" | "&amp;L41))</x:f>
      </x:c>
    </x:row>
    <x:row r="42">
      <x:c r="A42" s="18"/>
      <x:c r="B42" s="19"/>
      <x:c r="C42" s="18"/>
      <x:c r="D42" s="19" t="str">
        <x:f>IF(A42="","",IFERROR(B42+VLOOKUP(C42,Lists!$A$2:$B$101,2,FALSE),"Check duration"))</x:f>
      </x:c>
      <x:c r="E42" s="18" t="str">
        <x:f>IF(A42="","",IF(ISNUMBER(D42),IF(D42&lt;TODAY(),"Expired",IF(D42&lt;=TODAY()+7,"Expiring Soon","Active")),"Check Duration"))</x:f>
      </x:c>
      <x:c r="F42" s="18"/>
      <x:c r="G42" s="18"/>
      <x:c r="H42" s="18"/>
      <x:c r="I42" s="18"/>
      <x:c r="J42" s="18"/>
      <x:c r="K42" s="18" t="str">
        <x:f>IF(A42="","",IF(E42="Expired","",IF(E42="Check Duration","",COUNTIFS($A$5:$A$204,"&lt;"&amp;A42,$E$5:$E$204,"&lt;&gt;Expired",$E$5:$E$204,"&lt;&gt;Check Duration")+COUNTIFS($A$5:A42,A42,$E$5:E42,"&lt;&gt;Expired",$E$5:E42,"&lt;&gt;Check Duration"))))</x:f>
      </x:c>
      <x:c r="L42" s="18" t="str">
        <x:f>IF(A42="","",IFERROR(TEXTJOIN("; ",TRUE,FILTER('Benefit Resets'!$J$5:$J$204,'Benefit Resets'!$A$5:$A$204=A42,'Benefit Resets'!$L$5:$L$204="Yes")),""))</x:f>
      </x:c>
      <x:c r="M42" s="18" t="str">
        <x:f>IF(A42="","",IF(L42="",G42,G42&amp;" | "&amp;L42))</x:f>
      </x:c>
    </x:row>
    <x:row r="43">
      <x:c r="A43" s="18"/>
      <x:c r="B43" s="19"/>
      <x:c r="C43" s="18"/>
      <x:c r="D43" s="19" t="str">
        <x:f>IF(A43="","",IFERROR(B43+VLOOKUP(C43,Lists!$A$2:$B$101,2,FALSE),"Check duration"))</x:f>
      </x:c>
      <x:c r="E43" s="18" t="str">
        <x:f>IF(A43="","",IF(ISNUMBER(D43),IF(D43&lt;TODAY(),"Expired",IF(D43&lt;=TODAY()+7,"Expiring Soon","Active")),"Check Duration"))</x:f>
      </x:c>
      <x:c r="F43" s="18"/>
      <x:c r="G43" s="18"/>
      <x:c r="H43" s="18"/>
      <x:c r="I43" s="18"/>
      <x:c r="J43" s="18"/>
      <x:c r="K43" s="18" t="str">
        <x:f>IF(A43="","",IF(E43="Expired","",IF(E43="Check Duration","",COUNTIFS($A$5:$A$204,"&lt;"&amp;A43,$E$5:$E$204,"&lt;&gt;Expired",$E$5:$E$204,"&lt;&gt;Check Duration")+COUNTIFS($A$5:A43,A43,$E$5:E43,"&lt;&gt;Expired",$E$5:E43,"&lt;&gt;Check Duration"))))</x:f>
      </x:c>
      <x:c r="L43" s="18" t="str">
        <x:f>IF(A43="","",IFERROR(TEXTJOIN("; ",TRUE,FILTER('Benefit Resets'!$J$5:$J$204,'Benefit Resets'!$A$5:$A$204=A43,'Benefit Resets'!$L$5:$L$204="Yes")),""))</x:f>
      </x:c>
      <x:c r="M43" s="18" t="str">
        <x:f>IF(A43="","",IF(L43="",G43,G43&amp;" | "&amp;L43))</x:f>
      </x:c>
    </x:row>
    <x:row r="44">
      <x:c r="A44" s="18"/>
      <x:c r="B44" s="19"/>
      <x:c r="C44" s="18"/>
      <x:c r="D44" s="19" t="str">
        <x:f>IF(A44="","",IFERROR(B44+VLOOKUP(C44,Lists!$A$2:$B$101,2,FALSE),"Check duration"))</x:f>
      </x:c>
      <x:c r="E44" s="18" t="str">
        <x:f>IF(A44="","",IF(ISNUMBER(D44),IF(D44&lt;TODAY(),"Expired",IF(D44&lt;=TODAY()+7,"Expiring Soon","Active")),"Check Duration"))</x:f>
      </x:c>
      <x:c r="F44" s="18"/>
      <x:c r="G44" s="18"/>
      <x:c r="H44" s="18"/>
      <x:c r="I44" s="18"/>
      <x:c r="J44" s="18"/>
      <x:c r="K44" s="18" t="str">
        <x:f>IF(A44="","",IF(E44="Expired","",IF(E44="Check Duration","",COUNTIFS($A$5:$A$204,"&lt;"&amp;A44,$E$5:$E$204,"&lt;&gt;Expired",$E$5:$E$204,"&lt;&gt;Check Duration")+COUNTIFS($A$5:A44,A44,$E$5:E44,"&lt;&gt;Expired",$E$5:E44,"&lt;&gt;Check Duration"))))</x:f>
      </x:c>
      <x:c r="L44" s="18" t="str">
        <x:f>IF(A44="","",IFERROR(TEXTJOIN("; ",TRUE,FILTER('Benefit Resets'!$J$5:$J$204,'Benefit Resets'!$A$5:$A$204=A44,'Benefit Resets'!$L$5:$L$204="Yes")),""))</x:f>
      </x:c>
      <x:c r="M44" s="18" t="str">
        <x:f>IF(A44="","",IF(L44="",G44,G44&amp;" | "&amp;L44))</x:f>
      </x:c>
    </x:row>
    <x:row r="45">
      <x:c r="A45" s="18"/>
      <x:c r="B45" s="19"/>
      <x:c r="C45" s="18"/>
      <x:c r="D45" s="19" t="str">
        <x:f>IF(A45="","",IFERROR(B45+VLOOKUP(C45,Lists!$A$2:$B$101,2,FALSE),"Check duration"))</x:f>
      </x:c>
      <x:c r="E45" s="18" t="str">
        <x:f>IF(A45="","",IF(ISNUMBER(D45),IF(D45&lt;TODAY(),"Expired",IF(D45&lt;=TODAY()+7,"Expiring Soon","Active")),"Check Duration"))</x:f>
      </x:c>
      <x:c r="F45" s="18"/>
      <x:c r="G45" s="18"/>
      <x:c r="H45" s="18"/>
      <x:c r="I45" s="18"/>
      <x:c r="J45" s="18"/>
      <x:c r="K45" s="18" t="str">
        <x:f>IF(A45="","",IF(E45="Expired","",IF(E45="Check Duration","",COUNTIFS($A$5:$A$204,"&lt;"&amp;A45,$E$5:$E$204,"&lt;&gt;Expired",$E$5:$E$204,"&lt;&gt;Check Duration")+COUNTIFS($A$5:A45,A45,$E$5:E45,"&lt;&gt;Expired",$E$5:E45,"&lt;&gt;Check Duration"))))</x:f>
      </x:c>
      <x:c r="L45" s="18" t="str">
        <x:f>IF(A45="","",IFERROR(TEXTJOIN("; ",TRUE,FILTER('Benefit Resets'!$J$5:$J$204,'Benefit Resets'!$A$5:$A$204=A45,'Benefit Resets'!$L$5:$L$204="Yes")),""))</x:f>
      </x:c>
      <x:c r="M45" s="18" t="str">
        <x:f>IF(A45="","",IF(L45="",G45,G45&amp;" | "&amp;L45))</x:f>
      </x:c>
    </x:row>
    <x:row r="46">
      <x:c r="A46" s="18"/>
      <x:c r="B46" s="19"/>
      <x:c r="C46" s="18"/>
      <x:c r="D46" s="19" t="str">
        <x:f>IF(A46="","",IFERROR(B46+VLOOKUP(C46,Lists!$A$2:$B$101,2,FALSE),"Check duration"))</x:f>
      </x:c>
      <x:c r="E46" s="18" t="str">
        <x:f>IF(A46="","",IF(ISNUMBER(D46),IF(D46&lt;TODAY(),"Expired",IF(D46&lt;=TODAY()+7,"Expiring Soon","Active")),"Check Duration"))</x:f>
      </x:c>
      <x:c r="F46" s="18"/>
      <x:c r="G46" s="18"/>
      <x:c r="H46" s="18"/>
      <x:c r="I46" s="18"/>
      <x:c r="J46" s="18"/>
      <x:c r="K46" s="18" t="str">
        <x:f>IF(A46="","",IF(E46="Expired","",IF(E46="Check Duration","",COUNTIFS($A$5:$A$204,"&lt;"&amp;A46,$E$5:$E$204,"&lt;&gt;Expired",$E$5:$E$204,"&lt;&gt;Check Duration")+COUNTIFS($A$5:A46,A46,$E$5:E46,"&lt;&gt;Expired",$E$5:E46,"&lt;&gt;Check Duration"))))</x:f>
      </x:c>
      <x:c r="L46" s="18" t="str">
        <x:f>IF(A46="","",IFERROR(TEXTJOIN("; ",TRUE,FILTER('Benefit Resets'!$J$5:$J$204,'Benefit Resets'!$A$5:$A$204=A46,'Benefit Resets'!$L$5:$L$204="Yes")),""))</x:f>
      </x:c>
      <x:c r="M46" s="18" t="str">
        <x:f>IF(A46="","",IF(L46="",G46,G46&amp;" | "&amp;L46))</x:f>
      </x:c>
    </x:row>
    <x:row r="47">
      <x:c r="A47" s="18"/>
      <x:c r="B47" s="19"/>
      <x:c r="C47" s="18"/>
      <x:c r="D47" s="19" t="str">
        <x:f>IF(A47="","",IFERROR(B47+VLOOKUP(C47,Lists!$A$2:$B$101,2,FALSE),"Check duration"))</x:f>
      </x:c>
      <x:c r="E47" s="18" t="str">
        <x:f>IF(A47="","",IF(ISNUMBER(D47),IF(D47&lt;TODAY(),"Expired",IF(D47&lt;=TODAY()+7,"Expiring Soon","Active")),"Check Duration"))</x:f>
      </x:c>
      <x:c r="F47" s="18"/>
      <x:c r="G47" s="18"/>
      <x:c r="H47" s="18"/>
      <x:c r="I47" s="18"/>
      <x:c r="J47" s="18"/>
      <x:c r="K47" s="18" t="str">
        <x:f>IF(A47="","",IF(E47="Expired","",IF(E47="Check Duration","",COUNTIFS($A$5:$A$204,"&lt;"&amp;A47,$E$5:$E$204,"&lt;&gt;Expired",$E$5:$E$204,"&lt;&gt;Check Duration")+COUNTIFS($A$5:A47,A47,$E$5:E47,"&lt;&gt;Expired",$E$5:E47,"&lt;&gt;Check Duration"))))</x:f>
      </x:c>
      <x:c r="L47" s="18" t="str">
        <x:f>IF(A47="","",IFERROR(TEXTJOIN("; ",TRUE,FILTER('Benefit Resets'!$J$5:$J$204,'Benefit Resets'!$A$5:$A$204=A47,'Benefit Resets'!$L$5:$L$204="Yes")),""))</x:f>
      </x:c>
      <x:c r="M47" s="18" t="str">
        <x:f>IF(A47="","",IF(L47="",G47,G47&amp;" | "&amp;L47))</x:f>
      </x:c>
    </x:row>
    <x:row r="48">
      <x:c r="A48" s="18"/>
      <x:c r="B48" s="19"/>
      <x:c r="C48" s="18"/>
      <x:c r="D48" s="19" t="str">
        <x:f>IF(A48="","",IFERROR(B48+VLOOKUP(C48,Lists!$A$2:$B$101,2,FALSE),"Check duration"))</x:f>
      </x:c>
      <x:c r="E48" s="18" t="str">
        <x:f>IF(A48="","",IF(ISNUMBER(D48),IF(D48&lt;TODAY(),"Expired",IF(D48&lt;=TODAY()+7,"Expiring Soon","Active")),"Check Duration"))</x:f>
      </x:c>
      <x:c r="F48" s="18"/>
      <x:c r="G48" s="18"/>
      <x:c r="H48" s="18"/>
      <x:c r="I48" s="18"/>
      <x:c r="J48" s="18"/>
      <x:c r="K48" s="18" t="str">
        <x:f>IF(A48="","",IF(E48="Expired","",IF(E48="Check Duration","",COUNTIFS($A$5:$A$204,"&lt;"&amp;A48,$E$5:$E$204,"&lt;&gt;Expired",$E$5:$E$204,"&lt;&gt;Check Duration")+COUNTIFS($A$5:A48,A48,$E$5:E48,"&lt;&gt;Expired",$E$5:E48,"&lt;&gt;Check Duration"))))</x:f>
      </x:c>
      <x:c r="L48" s="18" t="str">
        <x:f>IF(A48="","",IFERROR(TEXTJOIN("; ",TRUE,FILTER('Benefit Resets'!$J$5:$J$204,'Benefit Resets'!$A$5:$A$204=A48,'Benefit Resets'!$L$5:$L$204="Yes")),""))</x:f>
      </x:c>
      <x:c r="M48" s="18" t="str">
        <x:f>IF(A48="","",IF(L48="",G48,G48&amp;" | "&amp;L48))</x:f>
      </x:c>
    </x:row>
    <x:row r="49">
      <x:c r="A49" s="18"/>
      <x:c r="B49" s="19"/>
      <x:c r="C49" s="18"/>
      <x:c r="D49" s="19" t="str">
        <x:f>IF(A49="","",IFERROR(B49+VLOOKUP(C49,Lists!$A$2:$B$101,2,FALSE),"Check duration"))</x:f>
      </x:c>
      <x:c r="E49" s="18" t="str">
        <x:f>IF(A49="","",IF(ISNUMBER(D49),IF(D49&lt;TODAY(),"Expired",IF(D49&lt;=TODAY()+7,"Expiring Soon","Active")),"Check Duration"))</x:f>
      </x:c>
      <x:c r="F49" s="18"/>
      <x:c r="G49" s="18"/>
      <x:c r="H49" s="18"/>
      <x:c r="I49" s="18"/>
      <x:c r="J49" s="18"/>
      <x:c r="K49" s="18" t="str">
        <x:f>IF(A49="","",IF(E49="Expired","",IF(E49="Check Duration","",COUNTIFS($A$5:$A$204,"&lt;"&amp;A49,$E$5:$E$204,"&lt;&gt;Expired",$E$5:$E$204,"&lt;&gt;Check Duration")+COUNTIFS($A$5:A49,A49,$E$5:E49,"&lt;&gt;Expired",$E$5:E49,"&lt;&gt;Check Duration"))))</x:f>
      </x:c>
      <x:c r="L49" s="18" t="str">
        <x:f>IF(A49="","",IFERROR(TEXTJOIN("; ",TRUE,FILTER('Benefit Resets'!$J$5:$J$204,'Benefit Resets'!$A$5:$A$204=A49,'Benefit Resets'!$L$5:$L$204="Yes")),""))</x:f>
      </x:c>
      <x:c r="M49" s="18" t="str">
        <x:f>IF(A49="","",IF(L49="",G49,G49&amp;" | "&amp;L49))</x:f>
      </x:c>
    </x:row>
    <x:row r="50">
      <x:c r="A50" s="18"/>
      <x:c r="B50" s="19"/>
      <x:c r="C50" s="18"/>
      <x:c r="D50" s="19" t="str">
        <x:f>IF(A50="","",IFERROR(B50+VLOOKUP(C50,Lists!$A$2:$B$101,2,FALSE),"Check duration"))</x:f>
      </x:c>
      <x:c r="E50" s="18" t="str">
        <x:f>IF(A50="","",IF(ISNUMBER(D50),IF(D50&lt;TODAY(),"Expired",IF(D50&lt;=TODAY()+7,"Expiring Soon","Active")),"Check Duration"))</x:f>
      </x:c>
      <x:c r="F50" s="18"/>
      <x:c r="G50" s="18"/>
      <x:c r="H50" s="18"/>
      <x:c r="I50" s="18"/>
      <x:c r="J50" s="18"/>
      <x:c r="K50" s="18" t="str">
        <x:f>IF(A50="","",IF(E50="Expired","",IF(E50="Check Duration","",COUNTIFS($A$5:$A$204,"&lt;"&amp;A50,$E$5:$E$204,"&lt;&gt;Expired",$E$5:$E$204,"&lt;&gt;Check Duration")+COUNTIFS($A$5:A50,A50,$E$5:E50,"&lt;&gt;Expired",$E$5:E50,"&lt;&gt;Check Duration"))))</x:f>
      </x:c>
      <x:c r="L50" s="18" t="str">
        <x:f>IF(A50="","",IFERROR(TEXTJOIN("; ",TRUE,FILTER('Benefit Resets'!$J$5:$J$204,'Benefit Resets'!$A$5:$A$204=A50,'Benefit Resets'!$L$5:$L$204="Yes")),""))</x:f>
      </x:c>
      <x:c r="M50" s="18" t="str">
        <x:f>IF(A50="","",IF(L50="",G50,G50&amp;" | "&amp;L50))</x:f>
      </x:c>
    </x:row>
    <x:row r="51">
      <x:c r="A51" s="18"/>
      <x:c r="B51" s="19"/>
      <x:c r="C51" s="18"/>
      <x:c r="D51" s="19" t="str">
        <x:f>IF(A51="","",IFERROR(B51+VLOOKUP(C51,Lists!$A$2:$B$101,2,FALSE),"Check duration"))</x:f>
      </x:c>
      <x:c r="E51" s="18" t="str">
        <x:f>IF(A51="","",IF(ISNUMBER(D51),IF(D51&lt;TODAY(),"Expired",IF(D51&lt;=TODAY()+7,"Expiring Soon","Active")),"Check Duration"))</x:f>
      </x:c>
      <x:c r="F51" s="18"/>
      <x:c r="G51" s="18"/>
      <x:c r="H51" s="18"/>
      <x:c r="I51" s="18"/>
      <x:c r="J51" s="18"/>
      <x:c r="K51" s="18" t="str">
        <x:f>IF(A51="","",IF(E51="Expired","",IF(E51="Check Duration","",COUNTIFS($A$5:$A$204,"&lt;"&amp;A51,$E$5:$E$204,"&lt;&gt;Expired",$E$5:$E$204,"&lt;&gt;Check Duration")+COUNTIFS($A$5:A51,A51,$E$5:E51,"&lt;&gt;Expired",$E$5:E51,"&lt;&gt;Check Duration"))))</x:f>
      </x:c>
      <x:c r="L51" s="18" t="str">
        <x:f>IF(A51="","",IFERROR(TEXTJOIN("; ",TRUE,FILTER('Benefit Resets'!$J$5:$J$204,'Benefit Resets'!$A$5:$A$204=A51,'Benefit Resets'!$L$5:$L$204="Yes")),""))</x:f>
      </x:c>
      <x:c r="M51" s="18" t="str">
        <x:f>IF(A51="","",IF(L51="",G51,G51&amp;" | "&amp;L51))</x:f>
      </x:c>
    </x:row>
    <x:row r="52">
      <x:c r="A52" s="18"/>
      <x:c r="B52" s="19"/>
      <x:c r="C52" s="18"/>
      <x:c r="D52" s="19" t="str">
        <x:f>IF(A52="","",IFERROR(B52+VLOOKUP(C52,Lists!$A$2:$B$101,2,FALSE),"Check duration"))</x:f>
      </x:c>
      <x:c r="E52" s="18" t="str">
        <x:f>IF(A52="","",IF(ISNUMBER(D52),IF(D52&lt;TODAY(),"Expired",IF(D52&lt;=TODAY()+7,"Expiring Soon","Active")),"Check Duration"))</x:f>
      </x:c>
      <x:c r="F52" s="18"/>
      <x:c r="G52" s="18"/>
      <x:c r="H52" s="18"/>
      <x:c r="I52" s="18"/>
      <x:c r="J52" s="18"/>
      <x:c r="K52" s="18" t="str">
        <x:f>IF(A52="","",IF(E52="Expired","",IF(E52="Check Duration","",COUNTIFS($A$5:$A$204,"&lt;"&amp;A52,$E$5:$E$204,"&lt;&gt;Expired",$E$5:$E$204,"&lt;&gt;Check Duration")+COUNTIFS($A$5:A52,A52,$E$5:E52,"&lt;&gt;Expired",$E$5:E52,"&lt;&gt;Check Duration"))))</x:f>
      </x:c>
      <x:c r="L52" s="18" t="str">
        <x:f>IF(A52="","",IFERROR(TEXTJOIN("; ",TRUE,FILTER('Benefit Resets'!$J$5:$J$204,'Benefit Resets'!$A$5:$A$204=A52,'Benefit Resets'!$L$5:$L$204="Yes")),""))</x:f>
      </x:c>
      <x:c r="M52" s="18" t="str">
        <x:f>IF(A52="","",IF(L52="",G52,G52&amp;" | "&amp;L52))</x:f>
      </x:c>
    </x:row>
    <x:row r="53">
      <x:c r="A53" s="18"/>
      <x:c r="B53" s="19"/>
      <x:c r="C53" s="18"/>
      <x:c r="D53" s="19" t="str">
        <x:f>IF(A53="","",IFERROR(B53+VLOOKUP(C53,Lists!$A$2:$B$101,2,FALSE),"Check duration"))</x:f>
      </x:c>
      <x:c r="E53" s="18" t="str">
        <x:f>IF(A53="","",IF(ISNUMBER(D53),IF(D53&lt;TODAY(),"Expired",IF(D53&lt;=TODAY()+7,"Expiring Soon","Active")),"Check Duration"))</x:f>
      </x:c>
      <x:c r="F53" s="18"/>
      <x:c r="G53" s="18"/>
      <x:c r="H53" s="18"/>
      <x:c r="I53" s="18"/>
      <x:c r="J53" s="18"/>
      <x:c r="K53" s="18" t="str">
        <x:f>IF(A53="","",IF(E53="Expired","",IF(E53="Check Duration","",COUNTIFS($A$5:$A$204,"&lt;"&amp;A53,$E$5:$E$204,"&lt;&gt;Expired",$E$5:$E$204,"&lt;&gt;Check Duration")+COUNTIFS($A$5:A53,A53,$E$5:E53,"&lt;&gt;Expired",$E$5:E53,"&lt;&gt;Check Duration"))))</x:f>
      </x:c>
      <x:c r="L53" s="18" t="str">
        <x:f>IF(A53="","",IFERROR(TEXTJOIN("; ",TRUE,FILTER('Benefit Resets'!$J$5:$J$204,'Benefit Resets'!$A$5:$A$204=A53,'Benefit Resets'!$L$5:$L$204="Yes")),""))</x:f>
      </x:c>
      <x:c r="M53" s="18" t="str">
        <x:f>IF(A53="","",IF(L53="",G53,G53&amp;" | "&amp;L53))</x:f>
      </x:c>
    </x:row>
    <x:row r="54">
      <x:c r="A54" s="18"/>
      <x:c r="B54" s="19"/>
      <x:c r="C54" s="18"/>
      <x:c r="D54" s="19" t="str">
        <x:f>IF(A54="","",IFERROR(B54+VLOOKUP(C54,Lists!$A$2:$B$101,2,FALSE),"Check duration"))</x:f>
      </x:c>
      <x:c r="E54" s="18" t="str">
        <x:f>IF(A54="","",IF(ISNUMBER(D54),IF(D54&lt;TODAY(),"Expired",IF(D54&lt;=TODAY()+7,"Expiring Soon","Active")),"Check Duration"))</x:f>
      </x:c>
      <x:c r="F54" s="18"/>
      <x:c r="G54" s="18"/>
      <x:c r="H54" s="18"/>
      <x:c r="I54" s="18"/>
      <x:c r="J54" s="18"/>
      <x:c r="K54" s="18" t="str">
        <x:f>IF(A54="","",IF(E54="Expired","",IF(E54="Check Duration","",COUNTIFS($A$5:$A$204,"&lt;"&amp;A54,$E$5:$E$204,"&lt;&gt;Expired",$E$5:$E$204,"&lt;&gt;Check Duration")+COUNTIFS($A$5:A54,A54,$E$5:E54,"&lt;&gt;Expired",$E$5:E54,"&lt;&gt;Check Duration"))))</x:f>
      </x:c>
      <x:c r="L54" s="18" t="str">
        <x:f>IF(A54="","",IFERROR(TEXTJOIN("; ",TRUE,FILTER('Benefit Resets'!$J$5:$J$204,'Benefit Resets'!$A$5:$A$204=A54,'Benefit Resets'!$L$5:$L$204="Yes")),""))</x:f>
      </x:c>
      <x:c r="M54" s="18" t="str">
        <x:f>IF(A54="","",IF(L54="",G54,G54&amp;" | "&amp;L54))</x:f>
      </x:c>
    </x:row>
    <x:row r="55">
      <x:c r="A55" s="18"/>
      <x:c r="B55" s="19"/>
      <x:c r="C55" s="18"/>
      <x:c r="D55" s="19" t="str">
        <x:f>IF(A55="","",IFERROR(B55+VLOOKUP(C55,Lists!$A$2:$B$101,2,FALSE),"Check duration"))</x:f>
      </x:c>
      <x:c r="E55" s="18" t="str">
        <x:f>IF(A55="","",IF(ISNUMBER(D55),IF(D55&lt;TODAY(),"Expired",IF(D55&lt;=TODAY()+7,"Expiring Soon","Active")),"Check Duration"))</x:f>
      </x:c>
      <x:c r="F55" s="18"/>
      <x:c r="G55" s="18"/>
      <x:c r="H55" s="18"/>
      <x:c r="I55" s="18"/>
      <x:c r="J55" s="18"/>
      <x:c r="K55" s="18" t="str">
        <x:f>IF(A55="","",IF(E55="Expired","",IF(E55="Check Duration","",COUNTIFS($A$5:$A$204,"&lt;"&amp;A55,$E$5:$E$204,"&lt;&gt;Expired",$E$5:$E$204,"&lt;&gt;Check Duration")+COUNTIFS($A$5:A55,A55,$E$5:E55,"&lt;&gt;Expired",$E$5:E55,"&lt;&gt;Check Duration"))))</x:f>
      </x:c>
      <x:c r="L55" s="18" t="str">
        <x:f>IF(A55="","",IFERROR(TEXTJOIN("; ",TRUE,FILTER('Benefit Resets'!$J$5:$J$204,'Benefit Resets'!$A$5:$A$204=A55,'Benefit Resets'!$L$5:$L$204="Yes")),""))</x:f>
      </x:c>
      <x:c r="M55" s="18" t="str">
        <x:f>IF(A55="","",IF(L55="",G55,G55&amp;" | "&amp;L55))</x:f>
      </x:c>
    </x:row>
    <x:row r="56">
      <x:c r="A56" s="18"/>
      <x:c r="B56" s="19"/>
      <x:c r="C56" s="18"/>
      <x:c r="D56" s="19" t="str">
        <x:f>IF(A56="","",IFERROR(B56+VLOOKUP(C56,Lists!$A$2:$B$101,2,FALSE),"Check duration"))</x:f>
      </x:c>
      <x:c r="E56" s="18" t="str">
        <x:f>IF(A56="","",IF(ISNUMBER(D56),IF(D56&lt;TODAY(),"Expired",IF(D56&lt;=TODAY()+7,"Expiring Soon","Active")),"Check Duration"))</x:f>
      </x:c>
      <x:c r="F56" s="18"/>
      <x:c r="G56" s="18"/>
      <x:c r="H56" s="18"/>
      <x:c r="I56" s="18"/>
      <x:c r="J56" s="18"/>
      <x:c r="K56" s="18" t="str">
        <x:f>IF(A56="","",IF(E56="Expired","",IF(E56="Check Duration","",COUNTIFS($A$5:$A$204,"&lt;"&amp;A56,$E$5:$E$204,"&lt;&gt;Expired",$E$5:$E$204,"&lt;&gt;Check Duration")+COUNTIFS($A$5:A56,A56,$E$5:E56,"&lt;&gt;Expired",$E$5:E56,"&lt;&gt;Check Duration"))))</x:f>
      </x:c>
      <x:c r="L56" s="18" t="str">
        <x:f>IF(A56="","",IFERROR(TEXTJOIN("; ",TRUE,FILTER('Benefit Resets'!$J$5:$J$204,'Benefit Resets'!$A$5:$A$204=A56,'Benefit Resets'!$L$5:$L$204="Yes")),""))</x:f>
      </x:c>
      <x:c r="M56" s="18" t="str">
        <x:f>IF(A56="","",IF(L56="",G56,G56&amp;" | "&amp;L56))</x:f>
      </x:c>
    </x:row>
    <x:row r="57">
      <x:c r="A57" s="18"/>
      <x:c r="B57" s="19"/>
      <x:c r="C57" s="18"/>
      <x:c r="D57" s="19" t="str">
        <x:f>IF(A57="","",IFERROR(B57+VLOOKUP(C57,Lists!$A$2:$B$101,2,FALSE),"Check duration"))</x:f>
      </x:c>
      <x:c r="E57" s="18" t="str">
        <x:f>IF(A57="","",IF(ISNUMBER(D57),IF(D57&lt;TODAY(),"Expired",IF(D57&lt;=TODAY()+7,"Expiring Soon","Active")),"Check Duration"))</x:f>
      </x:c>
      <x:c r="F57" s="18"/>
      <x:c r="G57" s="18"/>
      <x:c r="H57" s="18"/>
      <x:c r="I57" s="18"/>
      <x:c r="J57" s="18"/>
      <x:c r="K57" s="18" t="str">
        <x:f>IF(A57="","",IF(E57="Expired","",IF(E57="Check Duration","",COUNTIFS($A$5:$A$204,"&lt;"&amp;A57,$E$5:$E$204,"&lt;&gt;Expired",$E$5:$E$204,"&lt;&gt;Check Duration")+COUNTIFS($A$5:A57,A57,$E$5:E57,"&lt;&gt;Expired",$E$5:E57,"&lt;&gt;Check Duration"))))</x:f>
      </x:c>
      <x:c r="L57" s="18" t="str">
        <x:f>IF(A57="","",IFERROR(TEXTJOIN("; ",TRUE,FILTER('Benefit Resets'!$J$5:$J$204,'Benefit Resets'!$A$5:$A$204=A57,'Benefit Resets'!$L$5:$L$204="Yes")),""))</x:f>
      </x:c>
      <x:c r="M57" s="18" t="str">
        <x:f>IF(A57="","",IF(L57="",G57,G57&amp;" | "&amp;L57))</x:f>
      </x:c>
    </x:row>
    <x:row r="58">
      <x:c r="A58" s="18"/>
      <x:c r="B58" s="19"/>
      <x:c r="C58" s="18"/>
      <x:c r="D58" s="19" t="str">
        <x:f>IF(A58="","",IFERROR(B58+VLOOKUP(C58,Lists!$A$2:$B$101,2,FALSE),"Check duration"))</x:f>
      </x:c>
      <x:c r="E58" s="18" t="str">
        <x:f>IF(A58="","",IF(ISNUMBER(D58),IF(D58&lt;TODAY(),"Expired",IF(D58&lt;=TODAY()+7,"Expiring Soon","Active")),"Check Duration"))</x:f>
      </x:c>
      <x:c r="F58" s="18"/>
      <x:c r="G58" s="18"/>
      <x:c r="H58" s="18"/>
      <x:c r="I58" s="18"/>
      <x:c r="J58" s="18"/>
      <x:c r="K58" s="18" t="str">
        <x:f>IF(A58="","",IF(E58="Expired","",IF(E58="Check Duration","",COUNTIFS($A$5:$A$204,"&lt;"&amp;A58,$E$5:$E$204,"&lt;&gt;Expired",$E$5:$E$204,"&lt;&gt;Check Duration")+COUNTIFS($A$5:A58,A58,$E$5:E58,"&lt;&gt;Expired",$E$5:E58,"&lt;&gt;Check Duration"))))</x:f>
      </x:c>
      <x:c r="L58" s="18" t="str">
        <x:f>IF(A58="","",IFERROR(TEXTJOIN("; ",TRUE,FILTER('Benefit Resets'!$J$5:$J$204,'Benefit Resets'!$A$5:$A$204=A58,'Benefit Resets'!$L$5:$L$204="Yes")),""))</x:f>
      </x:c>
      <x:c r="M58" s="18" t="str">
        <x:f>IF(A58="","",IF(L58="",G58,G58&amp;" | "&amp;L58))</x:f>
      </x:c>
    </x:row>
    <x:row r="59">
      <x:c r="A59" s="18"/>
      <x:c r="B59" s="19"/>
      <x:c r="C59" s="18"/>
      <x:c r="D59" s="19" t="str">
        <x:f>IF(A59="","",IFERROR(B59+VLOOKUP(C59,Lists!$A$2:$B$101,2,FALSE),"Check duration"))</x:f>
      </x:c>
      <x:c r="E59" s="18" t="str">
        <x:f>IF(A59="","",IF(ISNUMBER(D59),IF(D59&lt;TODAY(),"Expired",IF(D59&lt;=TODAY()+7,"Expiring Soon","Active")),"Check Duration"))</x:f>
      </x:c>
      <x:c r="F59" s="18"/>
      <x:c r="G59" s="18"/>
      <x:c r="H59" s="18"/>
      <x:c r="I59" s="18"/>
      <x:c r="J59" s="18"/>
      <x:c r="K59" s="18" t="str">
        <x:f>IF(A59="","",IF(E59="Expired","",IF(E59="Check Duration","",COUNTIFS($A$5:$A$204,"&lt;"&amp;A59,$E$5:$E$204,"&lt;&gt;Expired",$E$5:$E$204,"&lt;&gt;Check Duration")+COUNTIFS($A$5:A59,A59,$E$5:E59,"&lt;&gt;Expired",$E$5:E59,"&lt;&gt;Check Duration"))))</x:f>
      </x:c>
      <x:c r="L59" s="18" t="str">
        <x:f>IF(A59="","",IFERROR(TEXTJOIN("; ",TRUE,FILTER('Benefit Resets'!$J$5:$J$204,'Benefit Resets'!$A$5:$A$204=A59,'Benefit Resets'!$L$5:$L$204="Yes")),""))</x:f>
      </x:c>
      <x:c r="M59" s="18" t="str">
        <x:f>IF(A59="","",IF(L59="",G59,G59&amp;" | "&amp;L59))</x:f>
      </x:c>
    </x:row>
    <x:row r="60">
      <x:c r="A60" s="18"/>
      <x:c r="B60" s="19"/>
      <x:c r="C60" s="18"/>
      <x:c r="D60" s="19" t="str">
        <x:f>IF(A60="","",IFERROR(B60+VLOOKUP(C60,Lists!$A$2:$B$101,2,FALSE),"Check duration"))</x:f>
      </x:c>
      <x:c r="E60" s="18" t="str">
        <x:f>IF(A60="","",IF(ISNUMBER(D60),IF(D60&lt;TODAY(),"Expired",IF(D60&lt;=TODAY()+7,"Expiring Soon","Active")),"Check Duration"))</x:f>
      </x:c>
      <x:c r="F60" s="18"/>
      <x:c r="G60" s="18"/>
      <x:c r="H60" s="18"/>
      <x:c r="I60" s="18"/>
      <x:c r="J60" s="18"/>
      <x:c r="K60" s="18" t="str">
        <x:f>IF(A60="","",IF(E60="Expired","",IF(E60="Check Duration","",COUNTIFS($A$5:$A$204,"&lt;"&amp;A60,$E$5:$E$204,"&lt;&gt;Expired",$E$5:$E$204,"&lt;&gt;Check Duration")+COUNTIFS($A$5:A60,A60,$E$5:E60,"&lt;&gt;Expired",$E$5:E60,"&lt;&gt;Check Duration"))))</x:f>
      </x:c>
      <x:c r="L60" s="18" t="str">
        <x:f>IF(A60="","",IFERROR(TEXTJOIN("; ",TRUE,FILTER('Benefit Resets'!$J$5:$J$204,'Benefit Resets'!$A$5:$A$204=A60,'Benefit Resets'!$L$5:$L$204="Yes")),""))</x:f>
      </x:c>
      <x:c r="M60" s="18" t="str">
        <x:f>IF(A60="","",IF(L60="",G60,G60&amp;" | "&amp;L60))</x:f>
      </x:c>
    </x:row>
    <x:row r="61">
      <x:c r="A61" s="18"/>
      <x:c r="B61" s="19"/>
      <x:c r="C61" s="18"/>
      <x:c r="D61" s="19" t="str">
        <x:f>IF(A61="","",IFERROR(B61+VLOOKUP(C61,Lists!$A$2:$B$101,2,FALSE),"Check duration"))</x:f>
      </x:c>
      <x:c r="E61" s="18" t="str">
        <x:f>IF(A61="","",IF(ISNUMBER(D61),IF(D61&lt;TODAY(),"Expired",IF(D61&lt;=TODAY()+7,"Expiring Soon","Active")),"Check Duration"))</x:f>
      </x:c>
      <x:c r="F61" s="18"/>
      <x:c r="G61" s="18"/>
      <x:c r="H61" s="18"/>
      <x:c r="I61" s="18"/>
      <x:c r="J61" s="18"/>
      <x:c r="K61" s="18" t="str">
        <x:f>IF(A61="","",IF(E61="Expired","",IF(E61="Check Duration","",COUNTIFS($A$5:$A$204,"&lt;"&amp;A61,$E$5:$E$204,"&lt;&gt;Expired",$E$5:$E$204,"&lt;&gt;Check Duration")+COUNTIFS($A$5:A61,A61,$E$5:E61,"&lt;&gt;Expired",$E$5:E61,"&lt;&gt;Check Duration"))))</x:f>
      </x:c>
      <x:c r="L61" s="18" t="str">
        <x:f>IF(A61="","",IFERROR(TEXTJOIN("; ",TRUE,FILTER('Benefit Resets'!$J$5:$J$204,'Benefit Resets'!$A$5:$A$204=A61,'Benefit Resets'!$L$5:$L$204="Yes")),""))</x:f>
      </x:c>
      <x:c r="M61" s="18" t="str">
        <x:f>IF(A61="","",IF(L61="",G61,G61&amp;" | "&amp;L61))</x:f>
      </x:c>
    </x:row>
    <x:row r="62">
      <x:c r="A62" s="18"/>
      <x:c r="B62" s="19"/>
      <x:c r="C62" s="18"/>
      <x:c r="D62" s="19" t="str">
        <x:f>IF(A62="","",IFERROR(B62+VLOOKUP(C62,Lists!$A$2:$B$101,2,FALSE),"Check duration"))</x:f>
      </x:c>
      <x:c r="E62" s="18" t="str">
        <x:f>IF(A62="","",IF(ISNUMBER(D62),IF(D62&lt;TODAY(),"Expired",IF(D62&lt;=TODAY()+7,"Expiring Soon","Active")),"Check Duration"))</x:f>
      </x:c>
      <x:c r="F62" s="18"/>
      <x:c r="G62" s="18"/>
      <x:c r="H62" s="18"/>
      <x:c r="I62" s="18"/>
      <x:c r="J62" s="18"/>
      <x:c r="K62" s="18" t="str">
        <x:f>IF(A62="","",IF(E62="Expired","",IF(E62="Check Duration","",COUNTIFS($A$5:$A$204,"&lt;"&amp;A62,$E$5:$E$204,"&lt;&gt;Expired",$E$5:$E$204,"&lt;&gt;Check Duration")+COUNTIFS($A$5:A62,A62,$E$5:E62,"&lt;&gt;Expired",$E$5:E62,"&lt;&gt;Check Duration"))))</x:f>
      </x:c>
      <x:c r="L62" s="18" t="str">
        <x:f>IF(A62="","",IFERROR(TEXTJOIN("; ",TRUE,FILTER('Benefit Resets'!$J$5:$J$204,'Benefit Resets'!$A$5:$A$204=A62,'Benefit Resets'!$L$5:$L$204="Yes")),""))</x:f>
      </x:c>
      <x:c r="M62" s="18" t="str">
        <x:f>IF(A62="","",IF(L62="",G62,G62&amp;" | "&amp;L62))</x:f>
      </x:c>
    </x:row>
    <x:row r="63">
      <x:c r="A63" s="18"/>
      <x:c r="B63" s="19"/>
      <x:c r="C63" s="18"/>
      <x:c r="D63" s="19" t="str">
        <x:f>IF(A63="","",IFERROR(B63+VLOOKUP(C63,Lists!$A$2:$B$101,2,FALSE),"Check duration"))</x:f>
      </x:c>
      <x:c r="E63" s="18" t="str">
        <x:f>IF(A63="","",IF(ISNUMBER(D63),IF(D63&lt;TODAY(),"Expired",IF(D63&lt;=TODAY()+7,"Expiring Soon","Active")),"Check Duration"))</x:f>
      </x:c>
      <x:c r="F63" s="18"/>
      <x:c r="G63" s="18"/>
      <x:c r="H63" s="18"/>
      <x:c r="I63" s="18"/>
      <x:c r="J63" s="18"/>
      <x:c r="K63" s="18" t="str">
        <x:f>IF(A63="","",IF(E63="Expired","",IF(E63="Check Duration","",COUNTIFS($A$5:$A$204,"&lt;"&amp;A63,$E$5:$E$204,"&lt;&gt;Expired",$E$5:$E$204,"&lt;&gt;Check Duration")+COUNTIFS($A$5:A63,A63,$E$5:E63,"&lt;&gt;Expired",$E$5:E63,"&lt;&gt;Check Duration"))))</x:f>
      </x:c>
      <x:c r="L63" s="18" t="str">
        <x:f>IF(A63="","",IFERROR(TEXTJOIN("; ",TRUE,FILTER('Benefit Resets'!$J$5:$J$204,'Benefit Resets'!$A$5:$A$204=A63,'Benefit Resets'!$L$5:$L$204="Yes")),""))</x:f>
      </x:c>
      <x:c r="M63" s="18" t="str">
        <x:f>IF(A63="","",IF(L63="",G63,G63&amp;" | "&amp;L63))</x:f>
      </x:c>
    </x:row>
    <x:row r="64">
      <x:c r="A64" s="18"/>
      <x:c r="B64" s="19"/>
      <x:c r="C64" s="18"/>
      <x:c r="D64" s="19" t="str">
        <x:f>IF(A64="","",IFERROR(B64+VLOOKUP(C64,Lists!$A$2:$B$101,2,FALSE),"Check duration"))</x:f>
      </x:c>
      <x:c r="E64" s="18" t="str">
        <x:f>IF(A64="","",IF(ISNUMBER(D64),IF(D64&lt;TODAY(),"Expired",IF(D64&lt;=TODAY()+7,"Expiring Soon","Active")),"Check Duration"))</x:f>
      </x:c>
      <x:c r="F64" s="18"/>
      <x:c r="G64" s="18"/>
      <x:c r="H64" s="18"/>
      <x:c r="I64" s="18"/>
      <x:c r="J64" s="18"/>
      <x:c r="K64" s="18" t="str">
        <x:f>IF(A64="","",IF(E64="Expired","",IF(E64="Check Duration","",COUNTIFS($A$5:$A$204,"&lt;"&amp;A64,$E$5:$E$204,"&lt;&gt;Expired",$E$5:$E$204,"&lt;&gt;Check Duration")+COUNTIFS($A$5:A64,A64,$E$5:E64,"&lt;&gt;Expired",$E$5:E64,"&lt;&gt;Check Duration"))))</x:f>
      </x:c>
      <x:c r="L64" s="18" t="str">
        <x:f>IF(A64="","",IFERROR(TEXTJOIN("; ",TRUE,FILTER('Benefit Resets'!$J$5:$J$204,'Benefit Resets'!$A$5:$A$204=A64,'Benefit Resets'!$L$5:$L$204="Yes")),""))</x:f>
      </x:c>
      <x:c r="M64" s="18" t="str">
        <x:f>IF(A64="","",IF(L64="",G64,G64&amp;" | "&amp;L64))</x:f>
      </x:c>
    </x:row>
    <x:row r="65">
      <x:c r="A65" s="18"/>
      <x:c r="B65" s="19"/>
      <x:c r="C65" s="18"/>
      <x:c r="D65" s="19" t="str">
        <x:f>IF(A65="","",IFERROR(B65+VLOOKUP(C65,Lists!$A$2:$B$101,2,FALSE),"Check duration"))</x:f>
      </x:c>
      <x:c r="E65" s="18" t="str">
        <x:f>IF(A65="","",IF(ISNUMBER(D65),IF(D65&lt;TODAY(),"Expired",IF(D65&lt;=TODAY()+7,"Expiring Soon","Active")),"Check Duration"))</x:f>
      </x:c>
      <x:c r="F65" s="18"/>
      <x:c r="G65" s="18"/>
      <x:c r="H65" s="18"/>
      <x:c r="I65" s="18"/>
      <x:c r="J65" s="18"/>
      <x:c r="K65" s="18" t="str">
        <x:f>IF(A65="","",IF(E65="Expired","",IF(E65="Check Duration","",COUNTIFS($A$5:$A$204,"&lt;"&amp;A65,$E$5:$E$204,"&lt;&gt;Expired",$E$5:$E$204,"&lt;&gt;Check Duration")+COUNTIFS($A$5:A65,A65,$E$5:E65,"&lt;&gt;Expired",$E$5:E65,"&lt;&gt;Check Duration"))))</x:f>
      </x:c>
      <x:c r="L65" s="18" t="str">
        <x:f>IF(A65="","",IFERROR(TEXTJOIN("; ",TRUE,FILTER('Benefit Resets'!$J$5:$J$204,'Benefit Resets'!$A$5:$A$204=A65,'Benefit Resets'!$L$5:$L$204="Yes")),""))</x:f>
      </x:c>
      <x:c r="M65" s="18" t="str">
        <x:f>IF(A65="","",IF(L65="",G65,G65&amp;" | "&amp;L65))</x:f>
      </x:c>
    </x:row>
    <x:row r="66">
      <x:c r="A66" s="18"/>
      <x:c r="B66" s="19"/>
      <x:c r="C66" s="18"/>
      <x:c r="D66" s="19" t="str">
        <x:f>IF(A66="","",IFERROR(B66+VLOOKUP(C66,Lists!$A$2:$B$101,2,FALSE),"Check duration"))</x:f>
      </x:c>
      <x:c r="E66" s="18" t="str">
        <x:f>IF(A66="","",IF(ISNUMBER(D66),IF(D66&lt;TODAY(),"Expired",IF(D66&lt;=TODAY()+7,"Expiring Soon","Active")),"Check Duration"))</x:f>
      </x:c>
      <x:c r="F66" s="18"/>
      <x:c r="G66" s="18"/>
      <x:c r="H66" s="18"/>
      <x:c r="I66" s="18"/>
      <x:c r="J66" s="18"/>
      <x:c r="K66" s="18" t="str">
        <x:f>IF(A66="","",IF(E66="Expired","",IF(E66="Check Duration","",COUNTIFS($A$5:$A$204,"&lt;"&amp;A66,$E$5:$E$204,"&lt;&gt;Expired",$E$5:$E$204,"&lt;&gt;Check Duration")+COUNTIFS($A$5:A66,A66,$E$5:E66,"&lt;&gt;Expired",$E$5:E66,"&lt;&gt;Check Duration"))))</x:f>
      </x:c>
      <x:c r="L66" s="18" t="str">
        <x:f>IF(A66="","",IFERROR(TEXTJOIN("; ",TRUE,FILTER('Benefit Resets'!$J$5:$J$204,'Benefit Resets'!$A$5:$A$204=A66,'Benefit Resets'!$L$5:$L$204="Yes")),""))</x:f>
      </x:c>
      <x:c r="M66" s="18" t="str">
        <x:f>IF(A66="","",IF(L66="",G66,G66&amp;" | "&amp;L66))</x:f>
      </x:c>
    </x:row>
    <x:row r="67">
      <x:c r="A67" s="18"/>
      <x:c r="B67" s="19"/>
      <x:c r="C67" s="18"/>
      <x:c r="D67" s="19" t="str">
        <x:f>IF(A67="","",IFERROR(B67+VLOOKUP(C67,Lists!$A$2:$B$101,2,FALSE),"Check duration"))</x:f>
      </x:c>
      <x:c r="E67" s="18" t="str">
        <x:f>IF(A67="","",IF(ISNUMBER(D67),IF(D67&lt;TODAY(),"Expired",IF(D67&lt;=TODAY()+7,"Expiring Soon","Active")),"Check Duration"))</x:f>
      </x:c>
      <x:c r="F67" s="18"/>
      <x:c r="G67" s="18"/>
      <x:c r="H67" s="18"/>
      <x:c r="I67" s="18"/>
      <x:c r="J67" s="18"/>
      <x:c r="K67" s="18" t="str">
        <x:f>IF(A67="","",IF(E67="Expired","",IF(E67="Check Duration","",COUNTIFS($A$5:$A$204,"&lt;"&amp;A67,$E$5:$E$204,"&lt;&gt;Expired",$E$5:$E$204,"&lt;&gt;Check Duration")+COUNTIFS($A$5:A67,A67,$E$5:E67,"&lt;&gt;Expired",$E$5:E67,"&lt;&gt;Check Duration"))))</x:f>
      </x:c>
      <x:c r="L67" s="18" t="str">
        <x:f>IF(A67="","",IFERROR(TEXTJOIN("; ",TRUE,FILTER('Benefit Resets'!$J$5:$J$204,'Benefit Resets'!$A$5:$A$204=A67,'Benefit Resets'!$L$5:$L$204="Yes")),""))</x:f>
      </x:c>
      <x:c r="M67" s="18" t="str">
        <x:f>IF(A67="","",IF(L67="",G67,G67&amp;" | "&amp;L67))</x:f>
      </x:c>
    </x:row>
    <x:row r="68">
      <x:c r="A68" s="18"/>
      <x:c r="B68" s="19"/>
      <x:c r="C68" s="18"/>
      <x:c r="D68" s="19" t="str">
        <x:f>IF(A68="","",IFERROR(B68+VLOOKUP(C68,Lists!$A$2:$B$101,2,FALSE),"Check duration"))</x:f>
      </x:c>
      <x:c r="E68" s="18" t="str">
        <x:f>IF(A68="","",IF(ISNUMBER(D68),IF(D68&lt;TODAY(),"Expired",IF(D68&lt;=TODAY()+7,"Expiring Soon","Active")),"Check Duration"))</x:f>
      </x:c>
      <x:c r="F68" s="18"/>
      <x:c r="G68" s="18"/>
      <x:c r="H68" s="18"/>
      <x:c r="I68" s="18"/>
      <x:c r="J68" s="18"/>
      <x:c r="K68" s="18" t="str">
        <x:f>IF(A68="","",IF(E68="Expired","",IF(E68="Check Duration","",COUNTIFS($A$5:$A$204,"&lt;"&amp;A68,$E$5:$E$204,"&lt;&gt;Expired",$E$5:$E$204,"&lt;&gt;Check Duration")+COUNTIFS($A$5:A68,A68,$E$5:E68,"&lt;&gt;Expired",$E$5:E68,"&lt;&gt;Check Duration"))))</x:f>
      </x:c>
      <x:c r="L68" s="18" t="str">
        <x:f>IF(A68="","",IFERROR(TEXTJOIN("; ",TRUE,FILTER('Benefit Resets'!$J$5:$J$204,'Benefit Resets'!$A$5:$A$204=A68,'Benefit Resets'!$L$5:$L$204="Yes")),""))</x:f>
      </x:c>
      <x:c r="M68" s="18" t="str">
        <x:f>IF(A68="","",IF(L68="",G68,G68&amp;" | "&amp;L68))</x:f>
      </x:c>
    </x:row>
    <x:row r="69">
      <x:c r="A69" s="18"/>
      <x:c r="B69" s="19"/>
      <x:c r="C69" s="18"/>
      <x:c r="D69" s="19" t="str">
        <x:f>IF(A69="","",IFERROR(B69+VLOOKUP(C69,Lists!$A$2:$B$101,2,FALSE),"Check duration"))</x:f>
      </x:c>
      <x:c r="E69" s="18" t="str">
        <x:f>IF(A69="","",IF(ISNUMBER(D69),IF(D69&lt;TODAY(),"Expired",IF(D69&lt;=TODAY()+7,"Expiring Soon","Active")),"Check Duration"))</x:f>
      </x:c>
      <x:c r="F69" s="18"/>
      <x:c r="G69" s="18"/>
      <x:c r="H69" s="18"/>
      <x:c r="I69" s="18"/>
      <x:c r="J69" s="18"/>
      <x:c r="K69" s="18" t="str">
        <x:f>IF(A69="","",IF(E69="Expired","",IF(E69="Check Duration","",COUNTIFS($A$5:$A$204,"&lt;"&amp;A69,$E$5:$E$204,"&lt;&gt;Expired",$E$5:$E$204,"&lt;&gt;Check Duration")+COUNTIFS($A$5:A69,A69,$E$5:E69,"&lt;&gt;Expired",$E$5:E69,"&lt;&gt;Check Duration"))))</x:f>
      </x:c>
      <x:c r="L69" s="18" t="str">
        <x:f>IF(A69="","",IFERROR(TEXTJOIN("; ",TRUE,FILTER('Benefit Resets'!$J$5:$J$204,'Benefit Resets'!$A$5:$A$204=A69,'Benefit Resets'!$L$5:$L$204="Yes")),""))</x:f>
      </x:c>
      <x:c r="M69" s="18" t="str">
        <x:f>IF(A69="","",IF(L69="",G69,G69&amp;" | "&amp;L69))</x:f>
      </x:c>
    </x:row>
    <x:row r="70">
      <x:c r="A70" s="18"/>
      <x:c r="B70" s="19"/>
      <x:c r="C70" s="18"/>
      <x:c r="D70" s="19" t="str">
        <x:f>IF(A70="","",IFERROR(B70+VLOOKUP(C70,Lists!$A$2:$B$101,2,FALSE),"Check duration"))</x:f>
      </x:c>
      <x:c r="E70" s="18" t="str">
        <x:f>IF(A70="","",IF(ISNUMBER(D70),IF(D70&lt;TODAY(),"Expired",IF(D70&lt;=TODAY()+7,"Expiring Soon","Active")),"Check Duration"))</x:f>
      </x:c>
      <x:c r="F70" s="18"/>
      <x:c r="G70" s="18"/>
      <x:c r="H70" s="18"/>
      <x:c r="I70" s="18"/>
      <x:c r="J70" s="18"/>
      <x:c r="K70" s="18" t="str">
        <x:f>IF(A70="","",IF(E70="Expired","",IF(E70="Check Duration","",COUNTIFS($A$5:$A$204,"&lt;"&amp;A70,$E$5:$E$204,"&lt;&gt;Expired",$E$5:$E$204,"&lt;&gt;Check Duration")+COUNTIFS($A$5:A70,A70,$E$5:E70,"&lt;&gt;Expired",$E$5:E70,"&lt;&gt;Check Duration"))))</x:f>
      </x:c>
      <x:c r="L70" s="18" t="str">
        <x:f>IF(A70="","",IFERROR(TEXTJOIN("; ",TRUE,FILTER('Benefit Resets'!$J$5:$J$204,'Benefit Resets'!$A$5:$A$204=A70,'Benefit Resets'!$L$5:$L$204="Yes")),""))</x:f>
      </x:c>
      <x:c r="M70" s="18" t="str">
        <x:f>IF(A70="","",IF(L70="",G70,G70&amp;" | "&amp;L70))</x:f>
      </x:c>
    </x:row>
    <x:row r="71">
      <x:c r="A71" s="18"/>
      <x:c r="B71" s="19"/>
      <x:c r="C71" s="18"/>
      <x:c r="D71" s="19" t="str">
        <x:f>IF(A71="","",IFERROR(B71+VLOOKUP(C71,Lists!$A$2:$B$101,2,FALSE),"Check duration"))</x:f>
      </x:c>
      <x:c r="E71" s="18" t="str">
        <x:f>IF(A71="","",IF(ISNUMBER(D71),IF(D71&lt;TODAY(),"Expired",IF(D71&lt;=TODAY()+7,"Expiring Soon","Active")),"Check Duration"))</x:f>
      </x:c>
      <x:c r="F71" s="18"/>
      <x:c r="G71" s="18"/>
      <x:c r="H71" s="18"/>
      <x:c r="I71" s="18"/>
      <x:c r="J71" s="18"/>
      <x:c r="K71" s="18" t="str">
        <x:f>IF(A71="","",IF(E71="Expired","",IF(E71="Check Duration","",COUNTIFS($A$5:$A$204,"&lt;"&amp;A71,$E$5:$E$204,"&lt;&gt;Expired",$E$5:$E$204,"&lt;&gt;Check Duration")+COUNTIFS($A$5:A71,A71,$E$5:E71,"&lt;&gt;Expired",$E$5:E71,"&lt;&gt;Check Duration"))))</x:f>
      </x:c>
      <x:c r="L71" s="18" t="str">
        <x:f>IF(A71="","",IFERROR(TEXTJOIN("; ",TRUE,FILTER('Benefit Resets'!$J$5:$J$204,'Benefit Resets'!$A$5:$A$204=A71,'Benefit Resets'!$L$5:$L$204="Yes")),""))</x:f>
      </x:c>
      <x:c r="M71" s="18" t="str">
        <x:f>IF(A71="","",IF(L71="",G71,G71&amp;" | "&amp;L71))</x:f>
      </x:c>
    </x:row>
    <x:row r="72">
      <x:c r="A72" s="18"/>
      <x:c r="B72" s="19"/>
      <x:c r="C72" s="18"/>
      <x:c r="D72" s="19" t="str">
        <x:f>IF(A72="","",IFERROR(B72+VLOOKUP(C72,Lists!$A$2:$B$101,2,FALSE),"Check duration"))</x:f>
      </x:c>
      <x:c r="E72" s="18" t="str">
        <x:f>IF(A72="","",IF(ISNUMBER(D72),IF(D72&lt;TODAY(),"Expired",IF(D72&lt;=TODAY()+7,"Expiring Soon","Active")),"Check Duration"))</x:f>
      </x:c>
      <x:c r="F72" s="18"/>
      <x:c r="G72" s="18"/>
      <x:c r="H72" s="18"/>
      <x:c r="I72" s="18"/>
      <x:c r="J72" s="18"/>
      <x:c r="K72" s="18" t="str">
        <x:f>IF(A72="","",IF(E72="Expired","",IF(E72="Check Duration","",COUNTIFS($A$5:$A$204,"&lt;"&amp;A72,$E$5:$E$204,"&lt;&gt;Expired",$E$5:$E$204,"&lt;&gt;Check Duration")+COUNTIFS($A$5:A72,A72,$E$5:E72,"&lt;&gt;Expired",$E$5:E72,"&lt;&gt;Check Duration"))))</x:f>
      </x:c>
      <x:c r="L72" s="18" t="str">
        <x:f>IF(A72="","",IFERROR(TEXTJOIN("; ",TRUE,FILTER('Benefit Resets'!$J$5:$J$204,'Benefit Resets'!$A$5:$A$204=A72,'Benefit Resets'!$L$5:$L$204="Yes")),""))</x:f>
      </x:c>
      <x:c r="M72" s="18" t="str">
        <x:f>IF(A72="","",IF(L72="",G72,G72&amp;" | "&amp;L72))</x:f>
      </x:c>
    </x:row>
    <x:row r="73">
      <x:c r="A73" s="18"/>
      <x:c r="B73" s="19"/>
      <x:c r="C73" s="18"/>
      <x:c r="D73" s="19" t="str">
        <x:f>IF(A73="","",IFERROR(B73+VLOOKUP(C73,Lists!$A$2:$B$101,2,FALSE),"Check duration"))</x:f>
      </x:c>
      <x:c r="E73" s="18" t="str">
        <x:f>IF(A73="","",IF(ISNUMBER(D73),IF(D73&lt;TODAY(),"Expired",IF(D73&lt;=TODAY()+7,"Expiring Soon","Active")),"Check Duration"))</x:f>
      </x:c>
      <x:c r="F73" s="18"/>
      <x:c r="G73" s="18"/>
      <x:c r="H73" s="18"/>
      <x:c r="I73" s="18"/>
      <x:c r="J73" s="18"/>
      <x:c r="K73" s="18" t="str">
        <x:f>IF(A73="","",IF(E73="Expired","",IF(E73="Check Duration","",COUNTIFS($A$5:$A$204,"&lt;"&amp;A73,$E$5:$E$204,"&lt;&gt;Expired",$E$5:$E$204,"&lt;&gt;Check Duration")+COUNTIFS($A$5:A73,A73,$E$5:E73,"&lt;&gt;Expired",$E$5:E73,"&lt;&gt;Check Duration"))))</x:f>
      </x:c>
      <x:c r="L73" s="18" t="str">
        <x:f>IF(A73="","",IFERROR(TEXTJOIN("; ",TRUE,FILTER('Benefit Resets'!$J$5:$J$204,'Benefit Resets'!$A$5:$A$204=A73,'Benefit Resets'!$L$5:$L$204="Yes")),""))</x:f>
      </x:c>
      <x:c r="M73" s="18" t="str">
        <x:f>IF(A73="","",IF(L73="",G73,G73&amp;" | "&amp;L73))</x:f>
      </x:c>
    </x:row>
    <x:row r="74">
      <x:c r="A74" s="18"/>
      <x:c r="B74" s="19"/>
      <x:c r="C74" s="18"/>
      <x:c r="D74" s="19" t="str">
        <x:f>IF(A74="","",IFERROR(B74+VLOOKUP(C74,Lists!$A$2:$B$101,2,FALSE),"Check duration"))</x:f>
      </x:c>
      <x:c r="E74" s="18" t="str">
        <x:f>IF(A74="","",IF(ISNUMBER(D74),IF(D74&lt;TODAY(),"Expired",IF(D74&lt;=TODAY()+7,"Expiring Soon","Active")),"Check Duration"))</x:f>
      </x:c>
      <x:c r="F74" s="18"/>
      <x:c r="G74" s="18"/>
      <x:c r="H74" s="18"/>
      <x:c r="I74" s="18"/>
      <x:c r="J74" s="18"/>
      <x:c r="K74" s="18" t="str">
        <x:f>IF(A74="","",IF(E74="Expired","",IF(E74="Check Duration","",COUNTIFS($A$5:$A$204,"&lt;"&amp;A74,$E$5:$E$204,"&lt;&gt;Expired",$E$5:$E$204,"&lt;&gt;Check Duration")+COUNTIFS($A$5:A74,A74,$E$5:E74,"&lt;&gt;Expired",$E$5:E74,"&lt;&gt;Check Duration"))))</x:f>
      </x:c>
      <x:c r="L74" s="18" t="str">
        <x:f>IF(A74="","",IFERROR(TEXTJOIN("; ",TRUE,FILTER('Benefit Resets'!$J$5:$J$204,'Benefit Resets'!$A$5:$A$204=A74,'Benefit Resets'!$L$5:$L$204="Yes")),""))</x:f>
      </x:c>
      <x:c r="M74" s="18" t="str">
        <x:f>IF(A74="","",IF(L74="",G74,G74&amp;" | "&amp;L74))</x:f>
      </x:c>
    </x:row>
    <x:row r="75">
      <x:c r="A75" s="18"/>
      <x:c r="B75" s="19"/>
      <x:c r="C75" s="18"/>
      <x:c r="D75" s="19" t="str">
        <x:f>IF(A75="","",IFERROR(B75+VLOOKUP(C75,Lists!$A$2:$B$101,2,FALSE),"Check duration"))</x:f>
      </x:c>
      <x:c r="E75" s="18" t="str">
        <x:f>IF(A75="","",IF(ISNUMBER(D75),IF(D75&lt;TODAY(),"Expired",IF(D75&lt;=TODAY()+7,"Expiring Soon","Active")),"Check Duration"))</x:f>
      </x:c>
      <x:c r="F75" s="18"/>
      <x:c r="G75" s="18"/>
      <x:c r="H75" s="18"/>
      <x:c r="I75" s="18"/>
      <x:c r="J75" s="18"/>
      <x:c r="K75" s="18" t="str">
        <x:f>IF(A75="","",IF(E75="Expired","",IF(E75="Check Duration","",COUNTIFS($A$5:$A$204,"&lt;"&amp;A75,$E$5:$E$204,"&lt;&gt;Expired",$E$5:$E$204,"&lt;&gt;Check Duration")+COUNTIFS($A$5:A75,A75,$E$5:E75,"&lt;&gt;Expired",$E$5:E75,"&lt;&gt;Check Duration"))))</x:f>
      </x:c>
      <x:c r="L75" s="18" t="str">
        <x:f>IF(A75="","",IFERROR(TEXTJOIN("; ",TRUE,FILTER('Benefit Resets'!$J$5:$J$204,'Benefit Resets'!$A$5:$A$204=A75,'Benefit Resets'!$L$5:$L$204="Yes")),""))</x:f>
      </x:c>
      <x:c r="M75" s="18" t="str">
        <x:f>IF(A75="","",IF(L75="",G75,G75&amp;" | "&amp;L75))</x:f>
      </x:c>
    </x:row>
    <x:row r="76">
      <x:c r="A76" s="18"/>
      <x:c r="B76" s="19"/>
      <x:c r="C76" s="18"/>
      <x:c r="D76" s="19" t="str">
        <x:f>IF(A76="","",IFERROR(B76+VLOOKUP(C76,Lists!$A$2:$B$101,2,FALSE),"Check duration"))</x:f>
      </x:c>
      <x:c r="E76" s="18" t="str">
        <x:f>IF(A76="","",IF(ISNUMBER(D76),IF(D76&lt;TODAY(),"Expired",IF(D76&lt;=TODAY()+7,"Expiring Soon","Active")),"Check Duration"))</x:f>
      </x:c>
      <x:c r="F76" s="18"/>
      <x:c r="G76" s="18"/>
      <x:c r="H76" s="18"/>
      <x:c r="I76" s="18"/>
      <x:c r="J76" s="18"/>
      <x:c r="K76" s="18" t="str">
        <x:f>IF(A76="","",IF(E76="Expired","",IF(E76="Check Duration","",COUNTIFS($A$5:$A$204,"&lt;"&amp;A76,$E$5:$E$204,"&lt;&gt;Expired",$E$5:$E$204,"&lt;&gt;Check Duration")+COUNTIFS($A$5:A76,A76,$E$5:E76,"&lt;&gt;Expired",$E$5:E76,"&lt;&gt;Check Duration"))))</x:f>
      </x:c>
      <x:c r="L76" s="18" t="str">
        <x:f>IF(A76="","",IFERROR(TEXTJOIN("; ",TRUE,FILTER('Benefit Resets'!$J$5:$J$204,'Benefit Resets'!$A$5:$A$204=A76,'Benefit Resets'!$L$5:$L$204="Yes")),""))</x:f>
      </x:c>
      <x:c r="M76" s="18" t="str">
        <x:f>IF(A76="","",IF(L76="",G76,G76&amp;" | "&amp;L76))</x:f>
      </x:c>
    </x:row>
    <x:row r="77">
      <x:c r="A77" s="18"/>
      <x:c r="B77" s="19"/>
      <x:c r="C77" s="18"/>
      <x:c r="D77" s="19" t="str">
        <x:f>IF(A77="","",IFERROR(B77+VLOOKUP(C77,Lists!$A$2:$B$101,2,FALSE),"Check duration"))</x:f>
      </x:c>
      <x:c r="E77" s="18" t="str">
        <x:f>IF(A77="","",IF(ISNUMBER(D77),IF(D77&lt;TODAY(),"Expired",IF(D77&lt;=TODAY()+7,"Expiring Soon","Active")),"Check Duration"))</x:f>
      </x:c>
      <x:c r="F77" s="18"/>
      <x:c r="G77" s="18"/>
      <x:c r="H77" s="18"/>
      <x:c r="I77" s="18"/>
      <x:c r="J77" s="18"/>
      <x:c r="K77" s="18" t="str">
        <x:f>IF(A77="","",IF(E77="Expired","",IF(E77="Check Duration","",COUNTIFS($A$5:$A$204,"&lt;"&amp;A77,$E$5:$E$204,"&lt;&gt;Expired",$E$5:$E$204,"&lt;&gt;Check Duration")+COUNTIFS($A$5:A77,A77,$E$5:E77,"&lt;&gt;Expired",$E$5:E77,"&lt;&gt;Check Duration"))))</x:f>
      </x:c>
      <x:c r="L77" s="18" t="str">
        <x:f>IF(A77="","",IFERROR(TEXTJOIN("; ",TRUE,FILTER('Benefit Resets'!$J$5:$J$204,'Benefit Resets'!$A$5:$A$204=A77,'Benefit Resets'!$L$5:$L$204="Yes")),""))</x:f>
      </x:c>
      <x:c r="M77" s="18" t="str">
        <x:f>IF(A77="","",IF(L77="",G77,G77&amp;" | "&amp;L77))</x:f>
      </x:c>
    </x:row>
    <x:row r="78">
      <x:c r="A78" s="18"/>
      <x:c r="B78" s="19"/>
      <x:c r="C78" s="18"/>
      <x:c r="D78" s="19" t="str">
        <x:f>IF(A78="","",IFERROR(B78+VLOOKUP(C78,Lists!$A$2:$B$101,2,FALSE),"Check duration"))</x:f>
      </x:c>
      <x:c r="E78" s="18" t="str">
        <x:f>IF(A78="","",IF(ISNUMBER(D78),IF(D78&lt;TODAY(),"Expired",IF(D78&lt;=TODAY()+7,"Expiring Soon","Active")),"Check Duration"))</x:f>
      </x:c>
      <x:c r="F78" s="18"/>
      <x:c r="G78" s="18"/>
      <x:c r="H78" s="18"/>
      <x:c r="I78" s="18"/>
      <x:c r="J78" s="18"/>
      <x:c r="K78" s="18" t="str">
        <x:f>IF(A78="","",IF(E78="Expired","",IF(E78="Check Duration","",COUNTIFS($A$5:$A$204,"&lt;"&amp;A78,$E$5:$E$204,"&lt;&gt;Expired",$E$5:$E$204,"&lt;&gt;Check Duration")+COUNTIFS($A$5:A78,A78,$E$5:E78,"&lt;&gt;Expired",$E$5:E78,"&lt;&gt;Check Duration"))))</x:f>
      </x:c>
      <x:c r="L78" s="18" t="str">
        <x:f>IF(A78="","",IFERROR(TEXTJOIN("; ",TRUE,FILTER('Benefit Resets'!$J$5:$J$204,'Benefit Resets'!$A$5:$A$204=A78,'Benefit Resets'!$L$5:$L$204="Yes")),""))</x:f>
      </x:c>
      <x:c r="M78" s="18" t="str">
        <x:f>IF(A78="","",IF(L78="",G78,G78&amp;" | "&amp;L78))</x:f>
      </x:c>
    </x:row>
    <x:row r="79">
      <x:c r="A79" s="18"/>
      <x:c r="B79" s="19"/>
      <x:c r="C79" s="18"/>
      <x:c r="D79" s="19" t="str">
        <x:f>IF(A79="","",IFERROR(B79+VLOOKUP(C79,Lists!$A$2:$B$101,2,FALSE),"Check duration"))</x:f>
      </x:c>
      <x:c r="E79" s="18" t="str">
        <x:f>IF(A79="","",IF(ISNUMBER(D79),IF(D79&lt;TODAY(),"Expired",IF(D79&lt;=TODAY()+7,"Expiring Soon","Active")),"Check Duration"))</x:f>
      </x:c>
      <x:c r="F79" s="18"/>
      <x:c r="G79" s="18"/>
      <x:c r="H79" s="18"/>
      <x:c r="I79" s="18"/>
      <x:c r="J79" s="18"/>
      <x:c r="K79" s="18" t="str">
        <x:f>IF(A79="","",IF(E79="Expired","",IF(E79="Check Duration","",COUNTIFS($A$5:$A$204,"&lt;"&amp;A79,$E$5:$E$204,"&lt;&gt;Expired",$E$5:$E$204,"&lt;&gt;Check Duration")+COUNTIFS($A$5:A79,A79,$E$5:E79,"&lt;&gt;Expired",$E$5:E79,"&lt;&gt;Check Duration"))))</x:f>
      </x:c>
      <x:c r="L79" s="18" t="str">
        <x:f>IF(A79="","",IFERROR(TEXTJOIN("; ",TRUE,FILTER('Benefit Resets'!$J$5:$J$204,'Benefit Resets'!$A$5:$A$204=A79,'Benefit Resets'!$L$5:$L$204="Yes")),""))</x:f>
      </x:c>
      <x:c r="M79" s="18" t="str">
        <x:f>IF(A79="","",IF(L79="",G79,G79&amp;" | "&amp;L79))</x:f>
      </x:c>
    </x:row>
    <x:row r="80">
      <x:c r="A80" s="18"/>
      <x:c r="B80" s="19"/>
      <x:c r="C80" s="18"/>
      <x:c r="D80" s="19" t="str">
        <x:f>IF(A80="","",IFERROR(B80+VLOOKUP(C80,Lists!$A$2:$B$101,2,FALSE),"Check duration"))</x:f>
      </x:c>
      <x:c r="E80" s="18" t="str">
        <x:f>IF(A80="","",IF(ISNUMBER(D80),IF(D80&lt;TODAY(),"Expired",IF(D80&lt;=TODAY()+7,"Expiring Soon","Active")),"Check Duration"))</x:f>
      </x:c>
      <x:c r="F80" s="18"/>
      <x:c r="G80" s="18"/>
      <x:c r="H80" s="18"/>
      <x:c r="I80" s="18"/>
      <x:c r="J80" s="18"/>
      <x:c r="K80" s="18" t="str">
        <x:f>IF(A80="","",IF(E80="Expired","",IF(E80="Check Duration","",COUNTIFS($A$5:$A$204,"&lt;"&amp;A80,$E$5:$E$204,"&lt;&gt;Expired",$E$5:$E$204,"&lt;&gt;Check Duration")+COUNTIFS($A$5:A80,A80,$E$5:E80,"&lt;&gt;Expired",$E$5:E80,"&lt;&gt;Check Duration"))))</x:f>
      </x:c>
      <x:c r="L80" s="18" t="str">
        <x:f>IF(A80="","",IFERROR(TEXTJOIN("; ",TRUE,FILTER('Benefit Resets'!$J$5:$J$204,'Benefit Resets'!$A$5:$A$204=A80,'Benefit Resets'!$L$5:$L$204="Yes")),""))</x:f>
      </x:c>
      <x:c r="M80" s="18" t="str">
        <x:f>IF(A80="","",IF(L80="",G80,G80&amp;" | "&amp;L80))</x:f>
      </x:c>
    </x:row>
    <x:row r="81">
      <x:c r="A81" s="18"/>
      <x:c r="B81" s="19"/>
      <x:c r="C81" s="18"/>
      <x:c r="D81" s="19" t="str">
        <x:f>IF(A81="","",IFERROR(B81+VLOOKUP(C81,Lists!$A$2:$B$101,2,FALSE),"Check duration"))</x:f>
      </x:c>
      <x:c r="E81" s="18" t="str">
        <x:f>IF(A81="","",IF(ISNUMBER(D81),IF(D81&lt;TODAY(),"Expired",IF(D81&lt;=TODAY()+7,"Expiring Soon","Active")),"Check Duration"))</x:f>
      </x:c>
      <x:c r="F81" s="18"/>
      <x:c r="G81" s="18"/>
      <x:c r="H81" s="18"/>
      <x:c r="I81" s="18"/>
      <x:c r="J81" s="18"/>
      <x:c r="K81" s="18" t="str">
        <x:f>IF(A81="","",IF(E81="Expired","",IF(E81="Check Duration","",COUNTIFS($A$5:$A$204,"&lt;"&amp;A81,$E$5:$E$204,"&lt;&gt;Expired",$E$5:$E$204,"&lt;&gt;Check Duration")+COUNTIFS($A$5:A81,A81,$E$5:E81,"&lt;&gt;Expired",$E$5:E81,"&lt;&gt;Check Duration"))))</x:f>
      </x:c>
      <x:c r="L81" s="18" t="str">
        <x:f>IF(A81="","",IFERROR(TEXTJOIN("; ",TRUE,FILTER('Benefit Resets'!$J$5:$J$204,'Benefit Resets'!$A$5:$A$204=A81,'Benefit Resets'!$L$5:$L$204="Yes")),""))</x:f>
      </x:c>
      <x:c r="M81" s="18" t="str">
        <x:f>IF(A81="","",IF(L81="",G81,G81&amp;" | "&amp;L81))</x:f>
      </x:c>
    </x:row>
    <x:row r="82">
      <x:c r="A82" s="18"/>
      <x:c r="B82" s="19"/>
      <x:c r="C82" s="18"/>
      <x:c r="D82" s="19" t="str">
        <x:f>IF(A82="","",IFERROR(B82+VLOOKUP(C82,Lists!$A$2:$B$101,2,FALSE),"Check duration"))</x:f>
      </x:c>
      <x:c r="E82" s="18" t="str">
        <x:f>IF(A82="","",IF(ISNUMBER(D82),IF(D82&lt;TODAY(),"Expired",IF(D82&lt;=TODAY()+7,"Expiring Soon","Active")),"Check Duration"))</x:f>
      </x:c>
      <x:c r="F82" s="18"/>
      <x:c r="G82" s="18"/>
      <x:c r="H82" s="18"/>
      <x:c r="I82" s="18"/>
      <x:c r="J82" s="18"/>
      <x:c r="K82" s="18" t="str">
        <x:f>IF(A82="","",IF(E82="Expired","",IF(E82="Check Duration","",COUNTIFS($A$5:$A$204,"&lt;"&amp;A82,$E$5:$E$204,"&lt;&gt;Expired",$E$5:$E$204,"&lt;&gt;Check Duration")+COUNTIFS($A$5:A82,A82,$E$5:E82,"&lt;&gt;Expired",$E$5:E82,"&lt;&gt;Check Duration"))))</x:f>
      </x:c>
      <x:c r="L82" s="18" t="str">
        <x:f>IF(A82="","",IFERROR(TEXTJOIN("; ",TRUE,FILTER('Benefit Resets'!$J$5:$J$204,'Benefit Resets'!$A$5:$A$204=A82,'Benefit Resets'!$L$5:$L$204="Yes")),""))</x:f>
      </x:c>
      <x:c r="M82" s="18" t="str">
        <x:f>IF(A82="","",IF(L82="",G82,G82&amp;" | "&amp;L82))</x:f>
      </x:c>
    </x:row>
    <x:row r="83">
      <x:c r="A83" s="18"/>
      <x:c r="B83" s="19"/>
      <x:c r="C83" s="18"/>
      <x:c r="D83" s="19" t="str">
        <x:f>IF(A83="","",IFERROR(B83+VLOOKUP(C83,Lists!$A$2:$B$101,2,FALSE),"Check duration"))</x:f>
      </x:c>
      <x:c r="E83" s="18" t="str">
        <x:f>IF(A83="","",IF(ISNUMBER(D83),IF(D83&lt;TODAY(),"Expired",IF(D83&lt;=TODAY()+7,"Expiring Soon","Active")),"Check Duration"))</x:f>
      </x:c>
      <x:c r="F83" s="18"/>
      <x:c r="G83" s="18"/>
      <x:c r="H83" s="18"/>
      <x:c r="I83" s="18"/>
      <x:c r="J83" s="18"/>
      <x:c r="K83" s="18" t="str">
        <x:f>IF(A83="","",IF(E83="Expired","",IF(E83="Check Duration","",COUNTIFS($A$5:$A$204,"&lt;"&amp;A83,$E$5:$E$204,"&lt;&gt;Expired",$E$5:$E$204,"&lt;&gt;Check Duration")+COUNTIFS($A$5:A83,A83,$E$5:E83,"&lt;&gt;Expired",$E$5:E83,"&lt;&gt;Check Duration"))))</x:f>
      </x:c>
      <x:c r="L83" s="18" t="str">
        <x:f>IF(A83="","",IFERROR(TEXTJOIN("; ",TRUE,FILTER('Benefit Resets'!$J$5:$J$204,'Benefit Resets'!$A$5:$A$204=A83,'Benefit Resets'!$L$5:$L$204="Yes")),""))</x:f>
      </x:c>
      <x:c r="M83" s="18" t="str">
        <x:f>IF(A83="","",IF(L83="",G83,G83&amp;" | "&amp;L83))</x:f>
      </x:c>
    </x:row>
    <x:row r="84">
      <x:c r="A84" s="18"/>
      <x:c r="B84" s="19"/>
      <x:c r="C84" s="18"/>
      <x:c r="D84" s="19" t="str">
        <x:f>IF(A84="","",IFERROR(B84+VLOOKUP(C84,Lists!$A$2:$B$101,2,FALSE),"Check duration"))</x:f>
      </x:c>
      <x:c r="E84" s="18" t="str">
        <x:f>IF(A84="","",IF(ISNUMBER(D84),IF(D84&lt;TODAY(),"Expired",IF(D84&lt;=TODAY()+7,"Expiring Soon","Active")),"Check Duration"))</x:f>
      </x:c>
      <x:c r="F84" s="18"/>
      <x:c r="G84" s="18"/>
      <x:c r="H84" s="18"/>
      <x:c r="I84" s="18"/>
      <x:c r="J84" s="18"/>
      <x:c r="K84" s="18" t="str">
        <x:f>IF(A84="","",IF(E84="Expired","",IF(E84="Check Duration","",COUNTIFS($A$5:$A$204,"&lt;"&amp;A84,$E$5:$E$204,"&lt;&gt;Expired",$E$5:$E$204,"&lt;&gt;Check Duration")+COUNTIFS($A$5:A84,A84,$E$5:E84,"&lt;&gt;Expired",$E$5:E84,"&lt;&gt;Check Duration"))))</x:f>
      </x:c>
      <x:c r="L84" s="18" t="str">
        <x:f>IF(A84="","",IFERROR(TEXTJOIN("; ",TRUE,FILTER('Benefit Resets'!$J$5:$J$204,'Benefit Resets'!$A$5:$A$204=A84,'Benefit Resets'!$L$5:$L$204="Yes")),""))</x:f>
      </x:c>
      <x:c r="M84" s="18" t="str">
        <x:f>IF(A84="","",IF(L84="",G84,G84&amp;" | "&amp;L84))</x:f>
      </x:c>
    </x:row>
    <x:row r="85">
      <x:c r="A85" s="18"/>
      <x:c r="B85" s="19"/>
      <x:c r="C85" s="18"/>
      <x:c r="D85" s="19" t="str">
        <x:f>IF(A85="","",IFERROR(B85+VLOOKUP(C85,Lists!$A$2:$B$101,2,FALSE),"Check duration"))</x:f>
      </x:c>
      <x:c r="E85" s="18" t="str">
        <x:f>IF(A85="","",IF(ISNUMBER(D85),IF(D85&lt;TODAY(),"Expired",IF(D85&lt;=TODAY()+7,"Expiring Soon","Active")),"Check Duration"))</x:f>
      </x:c>
      <x:c r="F85" s="18"/>
      <x:c r="G85" s="18"/>
      <x:c r="H85" s="18"/>
      <x:c r="I85" s="18"/>
      <x:c r="J85" s="18"/>
      <x:c r="K85" s="18" t="str">
        <x:f>IF(A85="","",IF(E85="Expired","",IF(E85="Check Duration","",COUNTIFS($A$5:$A$204,"&lt;"&amp;A85,$E$5:$E$204,"&lt;&gt;Expired",$E$5:$E$204,"&lt;&gt;Check Duration")+COUNTIFS($A$5:A85,A85,$E$5:E85,"&lt;&gt;Expired",$E$5:E85,"&lt;&gt;Check Duration"))))</x:f>
      </x:c>
      <x:c r="L85" s="18" t="str">
        <x:f>IF(A85="","",IFERROR(TEXTJOIN("; ",TRUE,FILTER('Benefit Resets'!$J$5:$J$204,'Benefit Resets'!$A$5:$A$204=A85,'Benefit Resets'!$L$5:$L$204="Yes")),""))</x:f>
      </x:c>
      <x:c r="M85" s="18" t="str">
        <x:f>IF(A85="","",IF(L85="",G85,G85&amp;" | "&amp;L85))</x:f>
      </x:c>
    </x:row>
    <x:row r="86">
      <x:c r="A86" s="18"/>
      <x:c r="B86" s="19"/>
      <x:c r="C86" s="18"/>
      <x:c r="D86" s="19" t="str">
        <x:f>IF(A86="","",IFERROR(B86+VLOOKUP(C86,Lists!$A$2:$B$101,2,FALSE),"Check duration"))</x:f>
      </x:c>
      <x:c r="E86" s="18" t="str">
        <x:f>IF(A86="","",IF(ISNUMBER(D86),IF(D86&lt;TODAY(),"Expired",IF(D86&lt;=TODAY()+7,"Expiring Soon","Active")),"Check Duration"))</x:f>
      </x:c>
      <x:c r="F86" s="18"/>
      <x:c r="G86" s="18"/>
      <x:c r="H86" s="18"/>
      <x:c r="I86" s="18"/>
      <x:c r="J86" s="18"/>
      <x:c r="K86" s="18" t="str">
        <x:f>IF(A86="","",IF(E86="Expired","",IF(E86="Check Duration","",COUNTIFS($A$5:$A$204,"&lt;"&amp;A86,$E$5:$E$204,"&lt;&gt;Expired",$E$5:$E$204,"&lt;&gt;Check Duration")+COUNTIFS($A$5:A86,A86,$E$5:E86,"&lt;&gt;Expired",$E$5:E86,"&lt;&gt;Check Duration"))))</x:f>
      </x:c>
      <x:c r="L86" s="18" t="str">
        <x:f>IF(A86="","",IFERROR(TEXTJOIN("; ",TRUE,FILTER('Benefit Resets'!$J$5:$J$204,'Benefit Resets'!$A$5:$A$204=A86,'Benefit Resets'!$L$5:$L$204="Yes")),""))</x:f>
      </x:c>
      <x:c r="M86" s="18" t="str">
        <x:f>IF(A86="","",IF(L86="",G86,G86&amp;" | "&amp;L86))</x:f>
      </x:c>
    </x:row>
    <x:row r="87">
      <x:c r="A87" s="18"/>
      <x:c r="B87" s="19"/>
      <x:c r="C87" s="18"/>
      <x:c r="D87" s="19" t="str">
        <x:f>IF(A87="","",IFERROR(B87+VLOOKUP(C87,Lists!$A$2:$B$101,2,FALSE),"Check duration"))</x:f>
      </x:c>
      <x:c r="E87" s="18" t="str">
        <x:f>IF(A87="","",IF(ISNUMBER(D87),IF(D87&lt;TODAY(),"Expired",IF(D87&lt;=TODAY()+7,"Expiring Soon","Active")),"Check Duration"))</x:f>
      </x:c>
      <x:c r="F87" s="18"/>
      <x:c r="G87" s="18"/>
      <x:c r="H87" s="18"/>
      <x:c r="I87" s="18"/>
      <x:c r="J87" s="18"/>
      <x:c r="K87" s="18" t="str">
        <x:f>IF(A87="","",IF(E87="Expired","",IF(E87="Check Duration","",COUNTIFS($A$5:$A$204,"&lt;"&amp;A87,$E$5:$E$204,"&lt;&gt;Expired",$E$5:$E$204,"&lt;&gt;Check Duration")+COUNTIFS($A$5:A87,A87,$E$5:E87,"&lt;&gt;Expired",$E$5:E87,"&lt;&gt;Check Duration"))))</x:f>
      </x:c>
      <x:c r="L87" s="18" t="str">
        <x:f>IF(A87="","",IFERROR(TEXTJOIN("; ",TRUE,FILTER('Benefit Resets'!$J$5:$J$204,'Benefit Resets'!$A$5:$A$204=A87,'Benefit Resets'!$L$5:$L$204="Yes")),""))</x:f>
      </x:c>
      <x:c r="M87" s="18" t="str">
        <x:f>IF(A87="","",IF(L87="",G87,G87&amp;" | "&amp;L87))</x:f>
      </x:c>
    </x:row>
    <x:row r="88">
      <x:c r="A88" s="18"/>
      <x:c r="B88" s="19"/>
      <x:c r="C88" s="18"/>
      <x:c r="D88" s="19" t="str">
        <x:f>IF(A88="","",IFERROR(B88+VLOOKUP(C88,Lists!$A$2:$B$101,2,FALSE),"Check duration"))</x:f>
      </x:c>
      <x:c r="E88" s="18" t="str">
        <x:f>IF(A88="","",IF(ISNUMBER(D88),IF(D88&lt;TODAY(),"Expired",IF(D88&lt;=TODAY()+7,"Expiring Soon","Active")),"Check Duration"))</x:f>
      </x:c>
      <x:c r="F88" s="18"/>
      <x:c r="G88" s="18"/>
      <x:c r="H88" s="18"/>
      <x:c r="I88" s="18"/>
      <x:c r="J88" s="18"/>
      <x:c r="K88" s="18" t="str">
        <x:f>IF(A88="","",IF(E88="Expired","",IF(E88="Check Duration","",COUNTIFS($A$5:$A$204,"&lt;"&amp;A88,$E$5:$E$204,"&lt;&gt;Expired",$E$5:$E$204,"&lt;&gt;Check Duration")+COUNTIFS($A$5:A88,A88,$E$5:E88,"&lt;&gt;Expired",$E$5:E88,"&lt;&gt;Check Duration"))))</x:f>
      </x:c>
      <x:c r="L88" s="18" t="str">
        <x:f>IF(A88="","",IFERROR(TEXTJOIN("; ",TRUE,FILTER('Benefit Resets'!$J$5:$J$204,'Benefit Resets'!$A$5:$A$204=A88,'Benefit Resets'!$L$5:$L$204="Yes")),""))</x:f>
      </x:c>
      <x:c r="M88" s="18" t="str">
        <x:f>IF(A88="","",IF(L88="",G88,G88&amp;" | "&amp;L88))</x:f>
      </x:c>
    </x:row>
    <x:row r="89">
      <x:c r="A89" s="18"/>
      <x:c r="B89" s="19"/>
      <x:c r="C89" s="18"/>
      <x:c r="D89" s="19" t="str">
        <x:f>IF(A89="","",IFERROR(B89+VLOOKUP(C89,Lists!$A$2:$B$101,2,FALSE),"Check duration"))</x:f>
      </x:c>
      <x:c r="E89" s="18" t="str">
        <x:f>IF(A89="","",IF(ISNUMBER(D89),IF(D89&lt;TODAY(),"Expired",IF(D89&lt;=TODAY()+7,"Expiring Soon","Active")),"Check Duration"))</x:f>
      </x:c>
      <x:c r="F89" s="18"/>
      <x:c r="G89" s="18"/>
      <x:c r="H89" s="18"/>
      <x:c r="I89" s="18"/>
      <x:c r="J89" s="18"/>
      <x:c r="K89" s="18" t="str">
        <x:f>IF(A89="","",IF(E89="Expired","",IF(E89="Check Duration","",COUNTIFS($A$5:$A$204,"&lt;"&amp;A89,$E$5:$E$204,"&lt;&gt;Expired",$E$5:$E$204,"&lt;&gt;Check Duration")+COUNTIFS($A$5:A89,A89,$E$5:E89,"&lt;&gt;Expired",$E$5:E89,"&lt;&gt;Check Duration"))))</x:f>
      </x:c>
      <x:c r="L89" s="18" t="str">
        <x:f>IF(A89="","",IFERROR(TEXTJOIN("; ",TRUE,FILTER('Benefit Resets'!$J$5:$J$204,'Benefit Resets'!$A$5:$A$204=A89,'Benefit Resets'!$L$5:$L$204="Yes")),""))</x:f>
      </x:c>
      <x:c r="M89" s="18" t="str">
        <x:f>IF(A89="","",IF(L89="",G89,G89&amp;" | "&amp;L89))</x:f>
      </x:c>
    </x:row>
    <x:row r="90">
      <x:c r="A90" s="18"/>
      <x:c r="B90" s="19"/>
      <x:c r="C90" s="18"/>
      <x:c r="D90" s="19" t="str">
        <x:f>IF(A90="","",IFERROR(B90+VLOOKUP(C90,Lists!$A$2:$B$101,2,FALSE),"Check duration"))</x:f>
      </x:c>
      <x:c r="E90" s="18" t="str">
        <x:f>IF(A90="","",IF(ISNUMBER(D90),IF(D90&lt;TODAY(),"Expired",IF(D90&lt;=TODAY()+7,"Expiring Soon","Active")),"Check Duration"))</x:f>
      </x:c>
      <x:c r="F90" s="18"/>
      <x:c r="G90" s="18"/>
      <x:c r="H90" s="18"/>
      <x:c r="I90" s="18"/>
      <x:c r="J90" s="18"/>
      <x:c r="K90" s="18" t="str">
        <x:f>IF(A90="","",IF(E90="Expired","",IF(E90="Check Duration","",COUNTIFS($A$5:$A$204,"&lt;"&amp;A90,$E$5:$E$204,"&lt;&gt;Expired",$E$5:$E$204,"&lt;&gt;Check Duration")+COUNTIFS($A$5:A90,A90,$E$5:E90,"&lt;&gt;Expired",$E$5:E90,"&lt;&gt;Check Duration"))))</x:f>
      </x:c>
      <x:c r="L90" s="18" t="str">
        <x:f>IF(A90="","",IFERROR(TEXTJOIN("; ",TRUE,FILTER('Benefit Resets'!$J$5:$J$204,'Benefit Resets'!$A$5:$A$204=A90,'Benefit Resets'!$L$5:$L$204="Yes")),""))</x:f>
      </x:c>
      <x:c r="M90" s="18" t="str">
        <x:f>IF(A90="","",IF(L90="",G90,G90&amp;" | "&amp;L90))</x:f>
      </x:c>
    </x:row>
    <x:row r="91">
      <x:c r="A91" s="18"/>
      <x:c r="B91" s="19"/>
      <x:c r="C91" s="18"/>
      <x:c r="D91" s="19" t="str">
        <x:f>IF(A91="","",IFERROR(B91+VLOOKUP(C91,Lists!$A$2:$B$101,2,FALSE),"Check duration"))</x:f>
      </x:c>
      <x:c r="E91" s="18" t="str">
        <x:f>IF(A91="","",IF(ISNUMBER(D91),IF(D91&lt;TODAY(),"Expired",IF(D91&lt;=TODAY()+7,"Expiring Soon","Active")),"Check Duration"))</x:f>
      </x:c>
      <x:c r="F91" s="18"/>
      <x:c r="G91" s="18"/>
      <x:c r="H91" s="18"/>
      <x:c r="I91" s="18"/>
      <x:c r="J91" s="18"/>
      <x:c r="K91" s="18" t="str">
        <x:f>IF(A91="","",IF(E91="Expired","",IF(E91="Check Duration","",COUNTIFS($A$5:$A$204,"&lt;"&amp;A91,$E$5:$E$204,"&lt;&gt;Expired",$E$5:$E$204,"&lt;&gt;Check Duration")+COUNTIFS($A$5:A91,A91,$E$5:E91,"&lt;&gt;Expired",$E$5:E91,"&lt;&gt;Check Duration"))))</x:f>
      </x:c>
      <x:c r="L91" s="18" t="str">
        <x:f>IF(A91="","",IFERROR(TEXTJOIN("; ",TRUE,FILTER('Benefit Resets'!$J$5:$J$204,'Benefit Resets'!$A$5:$A$204=A91,'Benefit Resets'!$L$5:$L$204="Yes")),""))</x:f>
      </x:c>
      <x:c r="M91" s="18" t="str">
        <x:f>IF(A91="","",IF(L91="",G91,G91&amp;" | "&amp;L91))</x:f>
      </x:c>
    </x:row>
    <x:row r="92">
      <x:c r="A92" s="18"/>
      <x:c r="B92" s="19"/>
      <x:c r="C92" s="18"/>
      <x:c r="D92" s="19" t="str">
        <x:f>IF(A92="","",IFERROR(B92+VLOOKUP(C92,Lists!$A$2:$B$101,2,FALSE),"Check duration"))</x:f>
      </x:c>
      <x:c r="E92" s="18" t="str">
        <x:f>IF(A92="","",IF(ISNUMBER(D92),IF(D92&lt;TODAY(),"Expired",IF(D92&lt;=TODAY()+7,"Expiring Soon","Active")),"Check Duration"))</x:f>
      </x:c>
      <x:c r="F92" s="18"/>
      <x:c r="G92" s="18"/>
      <x:c r="H92" s="18"/>
      <x:c r="I92" s="18"/>
      <x:c r="J92" s="18"/>
      <x:c r="K92" s="18" t="str">
        <x:f>IF(A92="","",IF(E92="Expired","",IF(E92="Check Duration","",COUNTIFS($A$5:$A$204,"&lt;"&amp;A92,$E$5:$E$204,"&lt;&gt;Expired",$E$5:$E$204,"&lt;&gt;Check Duration")+COUNTIFS($A$5:A92,A92,$E$5:E92,"&lt;&gt;Expired",$E$5:E92,"&lt;&gt;Check Duration"))))</x:f>
      </x:c>
      <x:c r="L92" s="18" t="str">
        <x:f>IF(A92="","",IFERROR(TEXTJOIN("; ",TRUE,FILTER('Benefit Resets'!$J$5:$J$204,'Benefit Resets'!$A$5:$A$204=A92,'Benefit Resets'!$L$5:$L$204="Yes")),""))</x:f>
      </x:c>
      <x:c r="M92" s="18" t="str">
        <x:f>IF(A92="","",IF(L92="",G92,G92&amp;" | "&amp;L92))</x:f>
      </x:c>
    </x:row>
    <x:row r="93">
      <x:c r="A93" s="18"/>
      <x:c r="B93" s="19"/>
      <x:c r="C93" s="18"/>
      <x:c r="D93" s="19" t="str">
        <x:f>IF(A93="","",IFERROR(B93+VLOOKUP(C93,Lists!$A$2:$B$101,2,FALSE),"Check duration"))</x:f>
      </x:c>
      <x:c r="E93" s="18" t="str">
        <x:f>IF(A93="","",IF(ISNUMBER(D93),IF(D93&lt;TODAY(),"Expired",IF(D93&lt;=TODAY()+7,"Expiring Soon","Active")),"Check Duration"))</x:f>
      </x:c>
      <x:c r="F93" s="18"/>
      <x:c r="G93" s="18"/>
      <x:c r="H93" s="18"/>
      <x:c r="I93" s="18"/>
      <x:c r="J93" s="18"/>
      <x:c r="K93" s="18" t="str">
        <x:f>IF(A93="","",IF(E93="Expired","",IF(E93="Check Duration","",COUNTIFS($A$5:$A$204,"&lt;"&amp;A93,$E$5:$E$204,"&lt;&gt;Expired",$E$5:$E$204,"&lt;&gt;Check Duration")+COUNTIFS($A$5:A93,A93,$E$5:E93,"&lt;&gt;Expired",$E$5:E93,"&lt;&gt;Check Duration"))))</x:f>
      </x:c>
      <x:c r="L93" s="18" t="str">
        <x:f>IF(A93="","",IFERROR(TEXTJOIN("; ",TRUE,FILTER('Benefit Resets'!$J$5:$J$204,'Benefit Resets'!$A$5:$A$204=A93,'Benefit Resets'!$L$5:$L$204="Yes")),""))</x:f>
      </x:c>
      <x:c r="M93" s="18" t="str">
        <x:f>IF(A93="","",IF(L93="",G93,G93&amp;" | "&amp;L93))</x:f>
      </x:c>
    </x:row>
    <x:row r="94">
      <x:c r="A94" s="18"/>
      <x:c r="B94" s="19"/>
      <x:c r="C94" s="18"/>
      <x:c r="D94" s="19" t="str">
        <x:f>IF(A94="","",IFERROR(B94+VLOOKUP(C94,Lists!$A$2:$B$101,2,FALSE),"Check duration"))</x:f>
      </x:c>
      <x:c r="E94" s="18" t="str">
        <x:f>IF(A94="","",IF(ISNUMBER(D94),IF(D94&lt;TODAY(),"Expired",IF(D94&lt;=TODAY()+7,"Expiring Soon","Active")),"Check Duration"))</x:f>
      </x:c>
      <x:c r="F94" s="18"/>
      <x:c r="G94" s="18"/>
      <x:c r="H94" s="18"/>
      <x:c r="I94" s="18"/>
      <x:c r="J94" s="18"/>
      <x:c r="K94" s="18" t="str">
        <x:f>IF(A94="","",IF(E94="Expired","",IF(E94="Check Duration","",COUNTIFS($A$5:$A$204,"&lt;"&amp;A94,$E$5:$E$204,"&lt;&gt;Expired",$E$5:$E$204,"&lt;&gt;Check Duration")+COUNTIFS($A$5:A94,A94,$E$5:E94,"&lt;&gt;Expired",$E$5:E94,"&lt;&gt;Check Duration"))))</x:f>
      </x:c>
      <x:c r="L94" s="18" t="str">
        <x:f>IF(A94="","",IFERROR(TEXTJOIN("; ",TRUE,FILTER('Benefit Resets'!$J$5:$J$204,'Benefit Resets'!$A$5:$A$204=A94,'Benefit Resets'!$L$5:$L$204="Yes")),""))</x:f>
      </x:c>
      <x:c r="M94" s="18" t="str">
        <x:f>IF(A94="","",IF(L94="",G94,G94&amp;" | "&amp;L94))</x:f>
      </x:c>
    </x:row>
    <x:row r="95">
      <x:c r="A95" s="18"/>
      <x:c r="B95" s="19"/>
      <x:c r="C95" s="18"/>
      <x:c r="D95" s="19" t="str">
        <x:f>IF(A95="","",IFERROR(B95+VLOOKUP(C95,Lists!$A$2:$B$101,2,FALSE),"Check duration"))</x:f>
      </x:c>
      <x:c r="E95" s="18" t="str">
        <x:f>IF(A95="","",IF(ISNUMBER(D95),IF(D95&lt;TODAY(),"Expired",IF(D95&lt;=TODAY()+7,"Expiring Soon","Active")),"Check Duration"))</x:f>
      </x:c>
      <x:c r="F95" s="18"/>
      <x:c r="G95" s="18"/>
      <x:c r="H95" s="18"/>
      <x:c r="I95" s="18"/>
      <x:c r="J95" s="18"/>
      <x:c r="K95" s="18" t="str">
        <x:f>IF(A95="","",IF(E95="Expired","",IF(E95="Check Duration","",COUNTIFS($A$5:$A$204,"&lt;"&amp;A95,$E$5:$E$204,"&lt;&gt;Expired",$E$5:$E$204,"&lt;&gt;Check Duration")+COUNTIFS($A$5:A95,A95,$E$5:E95,"&lt;&gt;Expired",$E$5:E95,"&lt;&gt;Check Duration"))))</x:f>
      </x:c>
      <x:c r="L95" s="18" t="str">
        <x:f>IF(A95="","",IFERROR(TEXTJOIN("; ",TRUE,FILTER('Benefit Resets'!$J$5:$J$204,'Benefit Resets'!$A$5:$A$204=A95,'Benefit Resets'!$L$5:$L$204="Yes")),""))</x:f>
      </x:c>
      <x:c r="M95" s="18" t="str">
        <x:f>IF(A95="","",IF(L95="",G95,G95&amp;" | "&amp;L95))</x:f>
      </x:c>
    </x:row>
    <x:row r="96">
      <x:c r="A96" s="18"/>
      <x:c r="B96" s="19"/>
      <x:c r="C96" s="18"/>
      <x:c r="D96" s="19" t="str">
        <x:f>IF(A96="","",IFERROR(B96+VLOOKUP(C96,Lists!$A$2:$B$101,2,FALSE),"Check duration"))</x:f>
      </x:c>
      <x:c r="E96" s="18" t="str">
        <x:f>IF(A96="","",IF(ISNUMBER(D96),IF(D96&lt;TODAY(),"Expired",IF(D96&lt;=TODAY()+7,"Expiring Soon","Active")),"Check Duration"))</x:f>
      </x:c>
      <x:c r="F96" s="18"/>
      <x:c r="G96" s="18"/>
      <x:c r="H96" s="18"/>
      <x:c r="I96" s="18"/>
      <x:c r="J96" s="18"/>
      <x:c r="K96" s="18" t="str">
        <x:f>IF(A96="","",IF(E96="Expired","",IF(E96="Check Duration","",COUNTIFS($A$5:$A$204,"&lt;"&amp;A96,$E$5:$E$204,"&lt;&gt;Expired",$E$5:$E$204,"&lt;&gt;Check Duration")+COUNTIFS($A$5:A96,A96,$E$5:E96,"&lt;&gt;Expired",$E$5:E96,"&lt;&gt;Check Duration"))))</x:f>
      </x:c>
      <x:c r="L96" s="18" t="str">
        <x:f>IF(A96="","",IFERROR(TEXTJOIN("; ",TRUE,FILTER('Benefit Resets'!$J$5:$J$204,'Benefit Resets'!$A$5:$A$204=A96,'Benefit Resets'!$L$5:$L$204="Yes")),""))</x:f>
      </x:c>
      <x:c r="M96" s="18" t="str">
        <x:f>IF(A96="","",IF(L96="",G96,G96&amp;" | "&amp;L96))</x:f>
      </x:c>
    </x:row>
    <x:row r="97">
      <x:c r="A97" s="18"/>
      <x:c r="B97" s="19"/>
      <x:c r="C97" s="18"/>
      <x:c r="D97" s="19" t="str">
        <x:f>IF(A97="","",IFERROR(B97+VLOOKUP(C97,Lists!$A$2:$B$101,2,FALSE),"Check duration"))</x:f>
      </x:c>
      <x:c r="E97" s="18" t="str">
        <x:f>IF(A97="","",IF(ISNUMBER(D97),IF(D97&lt;TODAY(),"Expired",IF(D97&lt;=TODAY()+7,"Expiring Soon","Active")),"Check Duration"))</x:f>
      </x:c>
      <x:c r="F97" s="18"/>
      <x:c r="G97" s="18"/>
      <x:c r="H97" s="18"/>
      <x:c r="I97" s="18"/>
      <x:c r="J97" s="18"/>
      <x:c r="K97" s="18" t="str">
        <x:f>IF(A97="","",IF(E97="Expired","",IF(E97="Check Duration","",COUNTIFS($A$5:$A$204,"&lt;"&amp;A97,$E$5:$E$204,"&lt;&gt;Expired",$E$5:$E$204,"&lt;&gt;Check Duration")+COUNTIFS($A$5:A97,A97,$E$5:E97,"&lt;&gt;Expired",$E$5:E97,"&lt;&gt;Check Duration"))))</x:f>
      </x:c>
      <x:c r="L97" s="18" t="str">
        <x:f>IF(A97="","",IFERROR(TEXTJOIN("; ",TRUE,FILTER('Benefit Resets'!$J$5:$J$204,'Benefit Resets'!$A$5:$A$204=A97,'Benefit Resets'!$L$5:$L$204="Yes")),""))</x:f>
      </x:c>
      <x:c r="M97" s="18" t="str">
        <x:f>IF(A97="","",IF(L97="",G97,G97&amp;" | "&amp;L97))</x:f>
      </x:c>
    </x:row>
    <x:row r="98">
      <x:c r="A98" s="18"/>
      <x:c r="B98" s="19"/>
      <x:c r="C98" s="18"/>
      <x:c r="D98" s="19" t="str">
        <x:f>IF(A98="","",IFERROR(B98+VLOOKUP(C98,Lists!$A$2:$B$101,2,FALSE),"Check duration"))</x:f>
      </x:c>
      <x:c r="E98" s="18" t="str">
        <x:f>IF(A98="","",IF(ISNUMBER(D98),IF(D98&lt;TODAY(),"Expired",IF(D98&lt;=TODAY()+7,"Expiring Soon","Active")),"Check Duration"))</x:f>
      </x:c>
      <x:c r="F98" s="18"/>
      <x:c r="G98" s="18"/>
      <x:c r="H98" s="18"/>
      <x:c r="I98" s="18"/>
      <x:c r="J98" s="18"/>
      <x:c r="K98" s="18" t="str">
        <x:f>IF(A98="","",IF(E98="Expired","",IF(E98="Check Duration","",COUNTIFS($A$5:$A$204,"&lt;"&amp;A98,$E$5:$E$204,"&lt;&gt;Expired",$E$5:$E$204,"&lt;&gt;Check Duration")+COUNTIFS($A$5:A98,A98,$E$5:E98,"&lt;&gt;Expired",$E$5:E98,"&lt;&gt;Check Duration"))))</x:f>
      </x:c>
      <x:c r="L98" s="18" t="str">
        <x:f>IF(A98="","",IFERROR(TEXTJOIN("; ",TRUE,FILTER('Benefit Resets'!$J$5:$J$204,'Benefit Resets'!$A$5:$A$204=A98,'Benefit Resets'!$L$5:$L$204="Yes")),""))</x:f>
      </x:c>
      <x:c r="M98" s="18" t="str">
        <x:f>IF(A98="","",IF(L98="",G98,G98&amp;" | "&amp;L98))</x:f>
      </x:c>
    </x:row>
    <x:row r="99">
      <x:c r="A99" s="18"/>
      <x:c r="B99" s="19"/>
      <x:c r="C99" s="18"/>
      <x:c r="D99" s="19" t="str">
        <x:f>IF(A99="","",IFERROR(B99+VLOOKUP(C99,Lists!$A$2:$B$101,2,FALSE),"Check duration"))</x:f>
      </x:c>
      <x:c r="E99" s="18" t="str">
        <x:f>IF(A99="","",IF(ISNUMBER(D99),IF(D99&lt;TODAY(),"Expired",IF(D99&lt;=TODAY()+7,"Expiring Soon","Active")),"Check Duration"))</x:f>
      </x:c>
      <x:c r="F99" s="18"/>
      <x:c r="G99" s="18"/>
      <x:c r="H99" s="18"/>
      <x:c r="I99" s="18"/>
      <x:c r="J99" s="18"/>
      <x:c r="K99" s="18" t="str">
        <x:f>IF(A99="","",IF(E99="Expired","",IF(E99="Check Duration","",COUNTIFS($A$5:$A$204,"&lt;"&amp;A99,$E$5:$E$204,"&lt;&gt;Expired",$E$5:$E$204,"&lt;&gt;Check Duration")+COUNTIFS($A$5:A99,A99,$E$5:E99,"&lt;&gt;Expired",$E$5:E99,"&lt;&gt;Check Duration"))))</x:f>
      </x:c>
      <x:c r="L99" s="18" t="str">
        <x:f>IF(A99="","",IFERROR(TEXTJOIN("; ",TRUE,FILTER('Benefit Resets'!$J$5:$J$204,'Benefit Resets'!$A$5:$A$204=A99,'Benefit Resets'!$L$5:$L$204="Yes")),""))</x:f>
      </x:c>
      <x:c r="M99" s="18" t="str">
        <x:f>IF(A99="","",IF(L99="",G99,G99&amp;" | "&amp;L99))</x:f>
      </x:c>
    </x:row>
    <x:row r="100">
      <x:c r="A100" s="18"/>
      <x:c r="B100" s="19"/>
      <x:c r="C100" s="18"/>
      <x:c r="D100" s="19" t="str">
        <x:f>IF(A100="","",IFERROR(B100+VLOOKUP(C100,Lists!$A$2:$B$101,2,FALSE),"Check duration"))</x:f>
      </x:c>
      <x:c r="E100" s="18" t="str">
        <x:f>IF(A100="","",IF(ISNUMBER(D100),IF(D100&lt;TODAY(),"Expired",IF(D100&lt;=TODAY()+7,"Expiring Soon","Active")),"Check Duration"))</x:f>
      </x:c>
      <x:c r="F100" s="18"/>
      <x:c r="G100" s="18"/>
      <x:c r="H100" s="18"/>
      <x:c r="I100" s="18"/>
      <x:c r="J100" s="18"/>
      <x:c r="K100" s="18" t="str">
        <x:f>IF(A100="","",IF(E100="Expired","",IF(E100="Check Duration","",COUNTIFS($A$5:$A$204,"&lt;"&amp;A100,$E$5:$E$204,"&lt;&gt;Expired",$E$5:$E$204,"&lt;&gt;Check Duration")+COUNTIFS($A$5:A100,A100,$E$5:E100,"&lt;&gt;Expired",$E$5:E100,"&lt;&gt;Check Duration"))))</x:f>
      </x:c>
      <x:c r="L100" s="18" t="str">
        <x:f>IF(A100="","",IFERROR(TEXTJOIN("; ",TRUE,FILTER('Benefit Resets'!$J$5:$J$204,'Benefit Resets'!$A$5:$A$204=A100,'Benefit Resets'!$L$5:$L$204="Yes")),""))</x:f>
      </x:c>
      <x:c r="M100" s="18" t="str">
        <x:f>IF(A100="","",IF(L100="",G100,G100&amp;" | "&amp;L100))</x:f>
      </x:c>
    </x:row>
    <x:row r="101">
      <x:c r="A101" s="18"/>
      <x:c r="B101" s="19"/>
      <x:c r="C101" s="18"/>
      <x:c r="D101" s="19" t="str">
        <x:f>IF(A101="","",IFERROR(B101+VLOOKUP(C101,Lists!$A$2:$B$101,2,FALSE),"Check duration"))</x:f>
      </x:c>
      <x:c r="E101" s="18" t="str">
        <x:f>IF(A101="","",IF(ISNUMBER(D101),IF(D101&lt;TODAY(),"Expired",IF(D101&lt;=TODAY()+7,"Expiring Soon","Active")),"Check Duration"))</x:f>
      </x:c>
      <x:c r="F101" s="18"/>
      <x:c r="G101" s="18"/>
      <x:c r="H101" s="18"/>
      <x:c r="I101" s="18"/>
      <x:c r="J101" s="18"/>
      <x:c r="K101" s="18" t="str">
        <x:f>IF(A101="","",IF(E101="Expired","",IF(E101="Check Duration","",COUNTIFS($A$5:$A$204,"&lt;"&amp;A101,$E$5:$E$204,"&lt;&gt;Expired",$E$5:$E$204,"&lt;&gt;Check Duration")+COUNTIFS($A$5:A101,A101,$E$5:E101,"&lt;&gt;Expired",$E$5:E101,"&lt;&gt;Check Duration"))))</x:f>
      </x:c>
      <x:c r="L101" s="18" t="str">
        <x:f>IF(A101="","",IFERROR(TEXTJOIN("; ",TRUE,FILTER('Benefit Resets'!$J$5:$J$204,'Benefit Resets'!$A$5:$A$204=A101,'Benefit Resets'!$L$5:$L$204="Yes")),""))</x:f>
      </x:c>
      <x:c r="M101" s="18" t="str">
        <x:f>IF(A101="","",IF(L101="",G101,G101&amp;" | "&amp;L101))</x:f>
      </x:c>
    </x:row>
    <x:row r="102">
      <x:c r="A102" s="18"/>
      <x:c r="B102" s="19"/>
      <x:c r="C102" s="18"/>
      <x:c r="D102" s="19" t="str">
        <x:f>IF(A102="","",IFERROR(B102+VLOOKUP(C102,Lists!$A$2:$B$101,2,FALSE),"Check duration"))</x:f>
      </x:c>
      <x:c r="E102" s="18" t="str">
        <x:f>IF(A102="","",IF(ISNUMBER(D102),IF(D102&lt;TODAY(),"Expired",IF(D102&lt;=TODAY()+7,"Expiring Soon","Active")),"Check Duration"))</x:f>
      </x:c>
      <x:c r="F102" s="18"/>
      <x:c r="G102" s="18"/>
      <x:c r="H102" s="18"/>
      <x:c r="I102" s="18"/>
      <x:c r="J102" s="18"/>
      <x:c r="K102" s="18" t="str">
        <x:f>IF(A102="","",IF(E102="Expired","",IF(E102="Check Duration","",COUNTIFS($A$5:$A$204,"&lt;"&amp;A102,$E$5:$E$204,"&lt;&gt;Expired",$E$5:$E$204,"&lt;&gt;Check Duration")+COUNTIFS($A$5:A102,A102,$E$5:E102,"&lt;&gt;Expired",$E$5:E102,"&lt;&gt;Check Duration"))))</x:f>
      </x:c>
      <x:c r="L102" s="18" t="str">
        <x:f>IF(A102="","",IFERROR(TEXTJOIN("; ",TRUE,FILTER('Benefit Resets'!$J$5:$J$204,'Benefit Resets'!$A$5:$A$204=A102,'Benefit Resets'!$L$5:$L$204="Yes")),""))</x:f>
      </x:c>
      <x:c r="M102" s="18" t="str">
        <x:f>IF(A102="","",IF(L102="",G102,G102&amp;" | "&amp;L102))</x:f>
      </x:c>
    </x:row>
    <x:row r="103">
      <x:c r="A103" s="18"/>
      <x:c r="B103" s="19"/>
      <x:c r="C103" s="18"/>
      <x:c r="D103" s="19" t="str">
        <x:f>IF(A103="","",IFERROR(B103+VLOOKUP(C103,Lists!$A$2:$B$101,2,FALSE),"Check duration"))</x:f>
      </x:c>
      <x:c r="E103" s="18" t="str">
        <x:f>IF(A103="","",IF(ISNUMBER(D103),IF(D103&lt;TODAY(),"Expired",IF(D103&lt;=TODAY()+7,"Expiring Soon","Active")),"Check Duration"))</x:f>
      </x:c>
      <x:c r="F103" s="18"/>
      <x:c r="G103" s="18"/>
      <x:c r="H103" s="18"/>
      <x:c r="I103" s="18"/>
      <x:c r="J103" s="18"/>
      <x:c r="K103" s="18" t="str">
        <x:f>IF(A103="","",IF(E103="Expired","",IF(E103="Check Duration","",COUNTIFS($A$5:$A$204,"&lt;"&amp;A103,$E$5:$E$204,"&lt;&gt;Expired",$E$5:$E$204,"&lt;&gt;Check Duration")+COUNTIFS($A$5:A103,A103,$E$5:E103,"&lt;&gt;Expired",$E$5:E103,"&lt;&gt;Check Duration"))))</x:f>
      </x:c>
      <x:c r="L103" s="18" t="str">
        <x:f>IF(A103="","",IFERROR(TEXTJOIN("; ",TRUE,FILTER('Benefit Resets'!$J$5:$J$204,'Benefit Resets'!$A$5:$A$204=A103,'Benefit Resets'!$L$5:$L$204="Yes")),""))</x:f>
      </x:c>
      <x:c r="M103" s="18" t="str">
        <x:f>IF(A103="","",IF(L103="",G103,G103&amp;" | "&amp;L103))</x:f>
      </x:c>
    </x:row>
    <x:row r="104">
      <x:c r="A104" s="18"/>
      <x:c r="B104" s="19"/>
      <x:c r="C104" s="18"/>
      <x:c r="D104" s="19" t="str">
        <x:f>IF(A104="","",IFERROR(B104+VLOOKUP(C104,Lists!$A$2:$B$101,2,FALSE),"Check duration"))</x:f>
      </x:c>
      <x:c r="E104" s="18" t="str">
        <x:f>IF(A104="","",IF(ISNUMBER(D104),IF(D104&lt;TODAY(),"Expired",IF(D104&lt;=TODAY()+7,"Expiring Soon","Active")),"Check Duration"))</x:f>
      </x:c>
      <x:c r="F104" s="18"/>
      <x:c r="G104" s="18"/>
      <x:c r="H104" s="18"/>
      <x:c r="I104" s="18"/>
      <x:c r="J104" s="18"/>
      <x:c r="K104" s="18" t="str">
        <x:f>IF(A104="","",IF(E104="Expired","",IF(E104="Check Duration","",COUNTIFS($A$5:$A$204,"&lt;"&amp;A104,$E$5:$E$204,"&lt;&gt;Expired",$E$5:$E$204,"&lt;&gt;Check Duration")+COUNTIFS($A$5:A104,A104,$E$5:E104,"&lt;&gt;Expired",$E$5:E104,"&lt;&gt;Check Duration"))))</x:f>
      </x:c>
      <x:c r="L104" s="18" t="str">
        <x:f>IF(A104="","",IFERROR(TEXTJOIN("; ",TRUE,FILTER('Benefit Resets'!$J$5:$J$204,'Benefit Resets'!$A$5:$A$204=A104,'Benefit Resets'!$L$5:$L$204="Yes")),""))</x:f>
      </x:c>
      <x:c r="M104" s="18" t="str">
        <x:f>IF(A104="","",IF(L104="",G104,G104&amp;" | "&amp;L104))</x:f>
      </x:c>
    </x:row>
    <x:row r="105">
      <x:c r="A105" s="18"/>
      <x:c r="B105" s="19"/>
      <x:c r="C105" s="18"/>
      <x:c r="D105" s="19" t="str">
        <x:f>IF(A105="","",IFERROR(B105+VLOOKUP(C105,Lists!$A$2:$B$101,2,FALSE),"Check duration"))</x:f>
      </x:c>
      <x:c r="E105" s="18" t="str">
        <x:f>IF(A105="","",IF(ISNUMBER(D105),IF(D105&lt;TODAY(),"Expired",IF(D105&lt;=TODAY()+7,"Expiring Soon","Active")),"Check Duration"))</x:f>
      </x:c>
      <x:c r="F105" s="18"/>
      <x:c r="G105" s="18"/>
      <x:c r="H105" s="18"/>
      <x:c r="I105" s="18"/>
      <x:c r="J105" s="18"/>
      <x:c r="K105" s="18" t="str">
        <x:f>IF(A105="","",IF(E105="Expired","",IF(E105="Check Duration","",COUNTIFS($A$5:$A$204,"&lt;"&amp;A105,$E$5:$E$204,"&lt;&gt;Expired",$E$5:$E$204,"&lt;&gt;Check Duration")+COUNTIFS($A$5:A105,A105,$E$5:E105,"&lt;&gt;Expired",$E$5:E105,"&lt;&gt;Check Duration"))))</x:f>
      </x:c>
      <x:c r="L105" s="18" t="str">
        <x:f>IF(A105="","",IFERROR(TEXTJOIN("; ",TRUE,FILTER('Benefit Resets'!$J$5:$J$204,'Benefit Resets'!$A$5:$A$204=A105,'Benefit Resets'!$L$5:$L$204="Yes")),""))</x:f>
      </x:c>
      <x:c r="M105" s="18" t="str">
        <x:f>IF(A105="","",IF(L105="",G105,G105&amp;" | "&amp;L105))</x:f>
      </x:c>
    </x:row>
    <x:row r="106">
      <x:c r="A106" s="18"/>
      <x:c r="B106" s="19"/>
      <x:c r="C106" s="18"/>
      <x:c r="D106" s="19" t="str">
        <x:f>IF(A106="","",IFERROR(B106+VLOOKUP(C106,Lists!$A$2:$B$101,2,FALSE),"Check duration"))</x:f>
      </x:c>
      <x:c r="E106" s="18" t="str">
        <x:f>IF(A106="","",IF(ISNUMBER(D106),IF(D106&lt;TODAY(),"Expired",IF(D106&lt;=TODAY()+7,"Expiring Soon","Active")),"Check Duration"))</x:f>
      </x:c>
      <x:c r="F106" s="18"/>
      <x:c r="G106" s="18"/>
      <x:c r="H106" s="18"/>
      <x:c r="I106" s="18"/>
      <x:c r="J106" s="18"/>
      <x:c r="K106" s="18" t="str">
        <x:f>IF(A106="","",IF(E106="Expired","",IF(E106="Check Duration","",COUNTIFS($A$5:$A$204,"&lt;"&amp;A106,$E$5:$E$204,"&lt;&gt;Expired",$E$5:$E$204,"&lt;&gt;Check Duration")+COUNTIFS($A$5:A106,A106,$E$5:E106,"&lt;&gt;Expired",$E$5:E106,"&lt;&gt;Check Duration"))))</x:f>
      </x:c>
      <x:c r="L106" s="18" t="str">
        <x:f>IF(A106="","",IFERROR(TEXTJOIN("; ",TRUE,FILTER('Benefit Resets'!$J$5:$J$204,'Benefit Resets'!$A$5:$A$204=A106,'Benefit Resets'!$L$5:$L$204="Yes")),""))</x:f>
      </x:c>
      <x:c r="M106" s="18" t="str">
        <x:f>IF(A106="","",IF(L106="",G106,G106&amp;" | "&amp;L106))</x:f>
      </x:c>
    </x:row>
    <x:row r="107">
      <x:c r="A107" s="18"/>
      <x:c r="B107" s="19"/>
      <x:c r="C107" s="18"/>
      <x:c r="D107" s="19" t="str">
        <x:f>IF(A107="","",IFERROR(B107+VLOOKUP(C107,Lists!$A$2:$B$101,2,FALSE),"Check duration"))</x:f>
      </x:c>
      <x:c r="E107" s="18" t="str">
        <x:f>IF(A107="","",IF(ISNUMBER(D107),IF(D107&lt;TODAY(),"Expired",IF(D107&lt;=TODAY()+7,"Expiring Soon","Active")),"Check Duration"))</x:f>
      </x:c>
      <x:c r="F107" s="18"/>
      <x:c r="G107" s="18"/>
      <x:c r="H107" s="18"/>
      <x:c r="I107" s="18"/>
      <x:c r="J107" s="18"/>
      <x:c r="K107" s="18" t="str">
        <x:f>IF(A107="","",IF(E107="Expired","",IF(E107="Check Duration","",COUNTIFS($A$5:$A$204,"&lt;"&amp;A107,$E$5:$E$204,"&lt;&gt;Expired",$E$5:$E$204,"&lt;&gt;Check Duration")+COUNTIFS($A$5:A107,A107,$E$5:E107,"&lt;&gt;Expired",$E$5:E107,"&lt;&gt;Check Duration"))))</x:f>
      </x:c>
      <x:c r="L107" s="18" t="str">
        <x:f>IF(A107="","",IFERROR(TEXTJOIN("; ",TRUE,FILTER('Benefit Resets'!$J$5:$J$204,'Benefit Resets'!$A$5:$A$204=A107,'Benefit Resets'!$L$5:$L$204="Yes")),""))</x:f>
      </x:c>
      <x:c r="M107" s="18" t="str">
        <x:f>IF(A107="","",IF(L107="",G107,G107&amp;" | "&amp;L107))</x:f>
      </x:c>
    </x:row>
    <x:row r="108">
      <x:c r="A108" s="18"/>
      <x:c r="B108" s="19"/>
      <x:c r="C108" s="18"/>
      <x:c r="D108" s="19" t="str">
        <x:f>IF(A108="","",IFERROR(B108+VLOOKUP(C108,Lists!$A$2:$B$101,2,FALSE),"Check duration"))</x:f>
      </x:c>
      <x:c r="E108" s="18" t="str">
        <x:f>IF(A108="","",IF(ISNUMBER(D108),IF(D108&lt;TODAY(),"Expired",IF(D108&lt;=TODAY()+7,"Expiring Soon","Active")),"Check Duration"))</x:f>
      </x:c>
      <x:c r="F108" s="18"/>
      <x:c r="G108" s="18"/>
      <x:c r="H108" s="18"/>
      <x:c r="I108" s="18"/>
      <x:c r="J108" s="18"/>
      <x:c r="K108" s="18" t="str">
        <x:f>IF(A108="","",IF(E108="Expired","",IF(E108="Check Duration","",COUNTIFS($A$5:$A$204,"&lt;"&amp;A108,$E$5:$E$204,"&lt;&gt;Expired",$E$5:$E$204,"&lt;&gt;Check Duration")+COUNTIFS($A$5:A108,A108,$E$5:E108,"&lt;&gt;Expired",$E$5:E108,"&lt;&gt;Check Duration"))))</x:f>
      </x:c>
      <x:c r="L108" s="18" t="str">
        <x:f>IF(A108="","",IFERROR(TEXTJOIN("; ",TRUE,FILTER('Benefit Resets'!$J$5:$J$204,'Benefit Resets'!$A$5:$A$204=A108,'Benefit Resets'!$L$5:$L$204="Yes")),""))</x:f>
      </x:c>
      <x:c r="M108" s="18" t="str">
        <x:f>IF(A108="","",IF(L108="",G108,G108&amp;" | "&amp;L108))</x:f>
      </x:c>
    </x:row>
    <x:row r="109">
      <x:c r="A109" s="18"/>
      <x:c r="B109" s="19"/>
      <x:c r="C109" s="18"/>
      <x:c r="D109" s="19" t="str">
        <x:f>IF(A109="","",IFERROR(B109+VLOOKUP(C109,Lists!$A$2:$B$101,2,FALSE),"Check duration"))</x:f>
      </x:c>
      <x:c r="E109" s="18" t="str">
        <x:f>IF(A109="","",IF(ISNUMBER(D109),IF(D109&lt;TODAY(),"Expired",IF(D109&lt;=TODAY()+7,"Expiring Soon","Active")),"Check Duration"))</x:f>
      </x:c>
      <x:c r="F109" s="18"/>
      <x:c r="G109" s="18"/>
      <x:c r="H109" s="18"/>
      <x:c r="I109" s="18"/>
      <x:c r="J109" s="18"/>
      <x:c r="K109" s="18" t="str">
        <x:f>IF(A109="","",IF(E109="Expired","",IF(E109="Check Duration","",COUNTIFS($A$5:$A$204,"&lt;"&amp;A109,$E$5:$E$204,"&lt;&gt;Expired",$E$5:$E$204,"&lt;&gt;Check Duration")+COUNTIFS($A$5:A109,A109,$E$5:E109,"&lt;&gt;Expired",$E$5:E109,"&lt;&gt;Check Duration"))))</x:f>
      </x:c>
      <x:c r="L109" s="18" t="str">
        <x:f>IF(A109="","",IFERROR(TEXTJOIN("; ",TRUE,FILTER('Benefit Resets'!$J$5:$J$204,'Benefit Resets'!$A$5:$A$204=A109,'Benefit Resets'!$L$5:$L$204="Yes")),""))</x:f>
      </x:c>
      <x:c r="M109" s="18" t="str">
        <x:f>IF(A109="","",IF(L109="",G109,G109&amp;" | "&amp;L109))</x:f>
      </x:c>
    </x:row>
    <x:row r="110">
      <x:c r="A110" s="18"/>
      <x:c r="B110" s="19"/>
      <x:c r="C110" s="18"/>
      <x:c r="D110" s="19" t="str">
        <x:f>IF(A110="","",IFERROR(B110+VLOOKUP(C110,Lists!$A$2:$B$101,2,FALSE),"Check duration"))</x:f>
      </x:c>
      <x:c r="E110" s="18" t="str">
        <x:f>IF(A110="","",IF(ISNUMBER(D110),IF(D110&lt;TODAY(),"Expired",IF(D110&lt;=TODAY()+7,"Expiring Soon","Active")),"Check Duration"))</x:f>
      </x:c>
      <x:c r="F110" s="18"/>
      <x:c r="G110" s="18"/>
      <x:c r="H110" s="18"/>
      <x:c r="I110" s="18"/>
      <x:c r="J110" s="18"/>
      <x:c r="K110" s="18" t="str">
        <x:f>IF(A110="","",IF(E110="Expired","",IF(E110="Check Duration","",COUNTIFS($A$5:$A$204,"&lt;"&amp;A110,$E$5:$E$204,"&lt;&gt;Expired",$E$5:$E$204,"&lt;&gt;Check Duration")+COUNTIFS($A$5:A110,A110,$E$5:E110,"&lt;&gt;Expired",$E$5:E110,"&lt;&gt;Check Duration"))))</x:f>
      </x:c>
      <x:c r="L110" s="18" t="str">
        <x:f>IF(A110="","",IFERROR(TEXTJOIN("; ",TRUE,FILTER('Benefit Resets'!$J$5:$J$204,'Benefit Resets'!$A$5:$A$204=A110,'Benefit Resets'!$L$5:$L$204="Yes")),""))</x:f>
      </x:c>
      <x:c r="M110" s="18" t="str">
        <x:f>IF(A110="","",IF(L110="",G110,G110&amp;" | "&amp;L110))</x:f>
      </x:c>
    </x:row>
    <x:row r="111">
      <x:c r="A111" s="18"/>
      <x:c r="B111" s="19"/>
      <x:c r="C111" s="18"/>
      <x:c r="D111" s="19" t="str">
        <x:f>IF(A111="","",IFERROR(B111+VLOOKUP(C111,Lists!$A$2:$B$101,2,FALSE),"Check duration"))</x:f>
      </x:c>
      <x:c r="E111" s="18" t="str">
        <x:f>IF(A111="","",IF(ISNUMBER(D111),IF(D111&lt;TODAY(),"Expired",IF(D111&lt;=TODAY()+7,"Expiring Soon","Active")),"Check Duration"))</x:f>
      </x:c>
      <x:c r="F111" s="18"/>
      <x:c r="G111" s="18"/>
      <x:c r="H111" s="18"/>
      <x:c r="I111" s="18"/>
      <x:c r="J111" s="18"/>
      <x:c r="K111" s="18" t="str">
        <x:f>IF(A111="","",IF(E111="Expired","",IF(E111="Check Duration","",COUNTIFS($A$5:$A$204,"&lt;"&amp;A111,$E$5:$E$204,"&lt;&gt;Expired",$E$5:$E$204,"&lt;&gt;Check Duration")+COUNTIFS($A$5:A111,A111,$E$5:E111,"&lt;&gt;Expired",$E$5:E111,"&lt;&gt;Check Duration"))))</x:f>
      </x:c>
      <x:c r="L111" s="18" t="str">
        <x:f>IF(A111="","",IFERROR(TEXTJOIN("; ",TRUE,FILTER('Benefit Resets'!$J$5:$J$204,'Benefit Resets'!$A$5:$A$204=A111,'Benefit Resets'!$L$5:$L$204="Yes")),""))</x:f>
      </x:c>
      <x:c r="M111" s="18" t="str">
        <x:f>IF(A111="","",IF(L111="",G111,G111&amp;" | "&amp;L111))</x:f>
      </x:c>
    </x:row>
    <x:row r="112">
      <x:c r="A112" s="18"/>
      <x:c r="B112" s="19"/>
      <x:c r="C112" s="18"/>
      <x:c r="D112" s="19" t="str">
        <x:f>IF(A112="","",IFERROR(B112+VLOOKUP(C112,Lists!$A$2:$B$101,2,FALSE),"Check duration"))</x:f>
      </x:c>
      <x:c r="E112" s="18" t="str">
        <x:f>IF(A112="","",IF(ISNUMBER(D112),IF(D112&lt;TODAY(),"Expired",IF(D112&lt;=TODAY()+7,"Expiring Soon","Active")),"Check Duration"))</x:f>
      </x:c>
      <x:c r="F112" s="18"/>
      <x:c r="G112" s="18"/>
      <x:c r="H112" s="18"/>
      <x:c r="I112" s="18"/>
      <x:c r="J112" s="18"/>
      <x:c r="K112" s="18" t="str">
        <x:f>IF(A112="","",IF(E112="Expired","",IF(E112="Check Duration","",COUNTIFS($A$5:$A$204,"&lt;"&amp;A112,$E$5:$E$204,"&lt;&gt;Expired",$E$5:$E$204,"&lt;&gt;Check Duration")+COUNTIFS($A$5:A112,A112,$E$5:E112,"&lt;&gt;Expired",$E$5:E112,"&lt;&gt;Check Duration"))))</x:f>
      </x:c>
      <x:c r="L112" s="18" t="str">
        <x:f>IF(A112="","",IFERROR(TEXTJOIN("; ",TRUE,FILTER('Benefit Resets'!$J$5:$J$204,'Benefit Resets'!$A$5:$A$204=A112,'Benefit Resets'!$L$5:$L$204="Yes")),""))</x:f>
      </x:c>
      <x:c r="M112" s="18" t="str">
        <x:f>IF(A112="","",IF(L112="",G112,G112&amp;" | "&amp;L112))</x:f>
      </x:c>
    </x:row>
    <x:row r="113">
      <x:c r="A113" s="18"/>
      <x:c r="B113" s="19"/>
      <x:c r="C113" s="18"/>
      <x:c r="D113" s="19" t="str">
        <x:f>IF(A113="","",IFERROR(B113+VLOOKUP(C113,Lists!$A$2:$B$101,2,FALSE),"Check duration"))</x:f>
      </x:c>
      <x:c r="E113" s="18" t="str">
        <x:f>IF(A113="","",IF(ISNUMBER(D113),IF(D113&lt;TODAY(),"Expired",IF(D113&lt;=TODAY()+7,"Expiring Soon","Active")),"Check Duration"))</x:f>
      </x:c>
      <x:c r="F113" s="18"/>
      <x:c r="G113" s="18"/>
      <x:c r="H113" s="18"/>
      <x:c r="I113" s="18"/>
      <x:c r="J113" s="18"/>
      <x:c r="K113" s="18" t="str">
        <x:f>IF(A113="","",IF(E113="Expired","",IF(E113="Check Duration","",COUNTIFS($A$5:$A$204,"&lt;"&amp;A113,$E$5:$E$204,"&lt;&gt;Expired",$E$5:$E$204,"&lt;&gt;Check Duration")+COUNTIFS($A$5:A113,A113,$E$5:E113,"&lt;&gt;Expired",$E$5:E113,"&lt;&gt;Check Duration"))))</x:f>
      </x:c>
      <x:c r="L113" s="18" t="str">
        <x:f>IF(A113="","",IFERROR(TEXTJOIN("; ",TRUE,FILTER('Benefit Resets'!$J$5:$J$204,'Benefit Resets'!$A$5:$A$204=A113,'Benefit Resets'!$L$5:$L$204="Yes")),""))</x:f>
      </x:c>
      <x:c r="M113" s="18" t="str">
        <x:f>IF(A113="","",IF(L113="",G113,G113&amp;" | "&amp;L113))</x:f>
      </x:c>
    </x:row>
    <x:row r="114">
      <x:c r="A114" s="18"/>
      <x:c r="B114" s="19"/>
      <x:c r="C114" s="18"/>
      <x:c r="D114" s="19" t="str">
        <x:f>IF(A114="","",IFERROR(B114+VLOOKUP(C114,Lists!$A$2:$B$101,2,FALSE),"Check duration"))</x:f>
      </x:c>
      <x:c r="E114" s="18" t="str">
        <x:f>IF(A114="","",IF(ISNUMBER(D114),IF(D114&lt;TODAY(),"Expired",IF(D114&lt;=TODAY()+7,"Expiring Soon","Active")),"Check Duration"))</x:f>
      </x:c>
      <x:c r="F114" s="18"/>
      <x:c r="G114" s="18"/>
      <x:c r="H114" s="18"/>
      <x:c r="I114" s="18"/>
      <x:c r="J114" s="18"/>
      <x:c r="K114" s="18" t="str">
        <x:f>IF(A114="","",IF(E114="Expired","",IF(E114="Check Duration","",COUNTIFS($A$5:$A$204,"&lt;"&amp;A114,$E$5:$E$204,"&lt;&gt;Expired",$E$5:$E$204,"&lt;&gt;Check Duration")+COUNTIFS($A$5:A114,A114,$E$5:E114,"&lt;&gt;Expired",$E$5:E114,"&lt;&gt;Check Duration"))))</x:f>
      </x:c>
      <x:c r="L114" s="18" t="str">
        <x:f>IF(A114="","",IFERROR(TEXTJOIN("; ",TRUE,FILTER('Benefit Resets'!$J$5:$J$204,'Benefit Resets'!$A$5:$A$204=A114,'Benefit Resets'!$L$5:$L$204="Yes")),""))</x:f>
      </x:c>
      <x:c r="M114" s="18" t="str">
        <x:f>IF(A114="","",IF(L114="",G114,G114&amp;" | "&amp;L114))</x:f>
      </x:c>
    </x:row>
    <x:row r="115">
      <x:c r="A115" s="18"/>
      <x:c r="B115" s="19"/>
      <x:c r="C115" s="18"/>
      <x:c r="D115" s="19" t="str">
        <x:f>IF(A115="","",IFERROR(B115+VLOOKUP(C115,Lists!$A$2:$B$101,2,FALSE),"Check duration"))</x:f>
      </x:c>
      <x:c r="E115" s="18" t="str">
        <x:f>IF(A115="","",IF(ISNUMBER(D115),IF(D115&lt;TODAY(),"Expired",IF(D115&lt;=TODAY()+7,"Expiring Soon","Active")),"Check Duration"))</x:f>
      </x:c>
      <x:c r="F115" s="18"/>
      <x:c r="G115" s="18"/>
      <x:c r="H115" s="18"/>
      <x:c r="I115" s="18"/>
      <x:c r="J115" s="18"/>
      <x:c r="K115" s="18" t="str">
        <x:f>IF(A115="","",IF(E115="Expired","",IF(E115="Check Duration","",COUNTIFS($A$5:$A$204,"&lt;"&amp;A115,$E$5:$E$204,"&lt;&gt;Expired",$E$5:$E$204,"&lt;&gt;Check Duration")+COUNTIFS($A$5:A115,A115,$E$5:E115,"&lt;&gt;Expired",$E$5:E115,"&lt;&gt;Check Duration"))))</x:f>
      </x:c>
      <x:c r="L115" s="18" t="str">
        <x:f>IF(A115="","",IFERROR(TEXTJOIN("; ",TRUE,FILTER('Benefit Resets'!$J$5:$J$204,'Benefit Resets'!$A$5:$A$204=A115,'Benefit Resets'!$L$5:$L$204="Yes")),""))</x:f>
      </x:c>
      <x:c r="M115" s="18" t="str">
        <x:f>IF(A115="","",IF(L115="",G115,G115&amp;" | "&amp;L115))</x:f>
      </x:c>
    </x:row>
    <x:row r="116">
      <x:c r="A116" s="18"/>
      <x:c r="B116" s="19"/>
      <x:c r="C116" s="18"/>
      <x:c r="D116" s="19" t="str">
        <x:f>IF(A116="","",IFERROR(B116+VLOOKUP(C116,Lists!$A$2:$B$101,2,FALSE),"Check duration"))</x:f>
      </x:c>
      <x:c r="E116" s="18" t="str">
        <x:f>IF(A116="","",IF(ISNUMBER(D116),IF(D116&lt;TODAY(),"Expired",IF(D116&lt;=TODAY()+7,"Expiring Soon","Active")),"Check Duration"))</x:f>
      </x:c>
      <x:c r="F116" s="18"/>
      <x:c r="G116" s="18"/>
      <x:c r="H116" s="18"/>
      <x:c r="I116" s="18"/>
      <x:c r="J116" s="18"/>
      <x:c r="K116" s="18" t="str">
        <x:f>IF(A116="","",IF(E116="Expired","",IF(E116="Check Duration","",COUNTIFS($A$5:$A$204,"&lt;"&amp;A116,$E$5:$E$204,"&lt;&gt;Expired",$E$5:$E$204,"&lt;&gt;Check Duration")+COUNTIFS($A$5:A116,A116,$E$5:E116,"&lt;&gt;Expired",$E$5:E116,"&lt;&gt;Check Duration"))))</x:f>
      </x:c>
      <x:c r="L116" s="18" t="str">
        <x:f>IF(A116="","",IFERROR(TEXTJOIN("; ",TRUE,FILTER('Benefit Resets'!$J$5:$J$204,'Benefit Resets'!$A$5:$A$204=A116,'Benefit Resets'!$L$5:$L$204="Yes")),""))</x:f>
      </x:c>
      <x:c r="M116" s="18" t="str">
        <x:f>IF(A116="","",IF(L116="",G116,G116&amp;" | "&amp;L116))</x:f>
      </x:c>
    </x:row>
    <x:row r="117">
      <x:c r="A117" s="18"/>
      <x:c r="B117" s="19"/>
      <x:c r="C117" s="18"/>
      <x:c r="D117" s="19" t="str">
        <x:f>IF(A117="","",IFERROR(B117+VLOOKUP(C117,Lists!$A$2:$B$101,2,FALSE),"Check duration"))</x:f>
      </x:c>
      <x:c r="E117" s="18" t="str">
        <x:f>IF(A117="","",IF(ISNUMBER(D117),IF(D117&lt;TODAY(),"Expired",IF(D117&lt;=TODAY()+7,"Expiring Soon","Active")),"Check Duration"))</x:f>
      </x:c>
      <x:c r="F117" s="18"/>
      <x:c r="G117" s="18"/>
      <x:c r="H117" s="18"/>
      <x:c r="I117" s="18"/>
      <x:c r="J117" s="18"/>
      <x:c r="K117" s="18" t="str">
        <x:f>IF(A117="","",IF(E117="Expired","",IF(E117="Check Duration","",COUNTIFS($A$5:$A$204,"&lt;"&amp;A117,$E$5:$E$204,"&lt;&gt;Expired",$E$5:$E$204,"&lt;&gt;Check Duration")+COUNTIFS($A$5:A117,A117,$E$5:E117,"&lt;&gt;Expired",$E$5:E117,"&lt;&gt;Check Duration"))))</x:f>
      </x:c>
      <x:c r="L117" s="18" t="str">
        <x:f>IF(A117="","",IFERROR(TEXTJOIN("; ",TRUE,FILTER('Benefit Resets'!$J$5:$J$204,'Benefit Resets'!$A$5:$A$204=A117,'Benefit Resets'!$L$5:$L$204="Yes")),""))</x:f>
      </x:c>
      <x:c r="M117" s="18" t="str">
        <x:f>IF(A117="","",IF(L117="",G117,G117&amp;" | "&amp;L117))</x:f>
      </x:c>
    </x:row>
    <x:row r="118">
      <x:c r="A118" s="18"/>
      <x:c r="B118" s="19"/>
      <x:c r="C118" s="18"/>
      <x:c r="D118" s="19" t="str">
        <x:f>IF(A118="","",IFERROR(B118+VLOOKUP(C118,Lists!$A$2:$B$101,2,FALSE),"Check duration"))</x:f>
      </x:c>
      <x:c r="E118" s="18" t="str">
        <x:f>IF(A118="","",IF(ISNUMBER(D118),IF(D118&lt;TODAY(),"Expired",IF(D118&lt;=TODAY()+7,"Expiring Soon","Active")),"Check Duration"))</x:f>
      </x:c>
      <x:c r="F118" s="18"/>
      <x:c r="G118" s="18"/>
      <x:c r="H118" s="18"/>
      <x:c r="I118" s="18"/>
      <x:c r="J118" s="18"/>
      <x:c r="K118" s="18" t="str">
        <x:f>IF(A118="","",IF(E118="Expired","",IF(E118="Check Duration","",COUNTIFS($A$5:$A$204,"&lt;"&amp;A118,$E$5:$E$204,"&lt;&gt;Expired",$E$5:$E$204,"&lt;&gt;Check Duration")+COUNTIFS($A$5:A118,A118,$E$5:E118,"&lt;&gt;Expired",$E$5:E118,"&lt;&gt;Check Duration"))))</x:f>
      </x:c>
      <x:c r="L118" s="18" t="str">
        <x:f>IF(A118="","",IFERROR(TEXTJOIN("; ",TRUE,FILTER('Benefit Resets'!$J$5:$J$204,'Benefit Resets'!$A$5:$A$204=A118,'Benefit Resets'!$L$5:$L$204="Yes")),""))</x:f>
      </x:c>
      <x:c r="M118" s="18" t="str">
        <x:f>IF(A118="","",IF(L118="",G118,G118&amp;" | "&amp;L118))</x:f>
      </x:c>
    </x:row>
    <x:row r="119">
      <x:c r="A119" s="18"/>
      <x:c r="B119" s="19"/>
      <x:c r="C119" s="18"/>
      <x:c r="D119" s="19" t="str">
        <x:f>IF(A119="","",IFERROR(B119+VLOOKUP(C119,Lists!$A$2:$B$101,2,FALSE),"Check duration"))</x:f>
      </x:c>
      <x:c r="E119" s="18" t="str">
        <x:f>IF(A119="","",IF(ISNUMBER(D119),IF(D119&lt;TODAY(),"Expired",IF(D119&lt;=TODAY()+7,"Expiring Soon","Active")),"Check Duration"))</x:f>
      </x:c>
      <x:c r="F119" s="18"/>
      <x:c r="G119" s="18"/>
      <x:c r="H119" s="18"/>
      <x:c r="I119" s="18"/>
      <x:c r="J119" s="18"/>
      <x:c r="K119" s="18" t="str">
        <x:f>IF(A119="","",IF(E119="Expired","",IF(E119="Check Duration","",COUNTIFS($A$5:$A$204,"&lt;"&amp;A119,$E$5:$E$204,"&lt;&gt;Expired",$E$5:$E$204,"&lt;&gt;Check Duration")+COUNTIFS($A$5:A119,A119,$E$5:E119,"&lt;&gt;Expired",$E$5:E119,"&lt;&gt;Check Duration"))))</x:f>
      </x:c>
      <x:c r="L119" s="18" t="str">
        <x:f>IF(A119="","",IFERROR(TEXTJOIN("; ",TRUE,FILTER('Benefit Resets'!$J$5:$J$204,'Benefit Resets'!$A$5:$A$204=A119,'Benefit Resets'!$L$5:$L$204="Yes")),""))</x:f>
      </x:c>
      <x:c r="M119" s="18" t="str">
        <x:f>IF(A119="","",IF(L119="",G119,G119&amp;" | "&amp;L119))</x:f>
      </x:c>
    </x:row>
    <x:row r="120">
      <x:c r="A120" s="18"/>
      <x:c r="B120" s="19"/>
      <x:c r="C120" s="18"/>
      <x:c r="D120" s="19" t="str">
        <x:f>IF(A120="","",IFERROR(B120+VLOOKUP(C120,Lists!$A$2:$B$101,2,FALSE),"Check duration"))</x:f>
      </x:c>
      <x:c r="E120" s="18" t="str">
        <x:f>IF(A120="","",IF(ISNUMBER(D120),IF(D120&lt;TODAY(),"Expired",IF(D120&lt;=TODAY()+7,"Expiring Soon","Active")),"Check Duration"))</x:f>
      </x:c>
      <x:c r="F120" s="18"/>
      <x:c r="G120" s="18"/>
      <x:c r="H120" s="18"/>
      <x:c r="I120" s="18"/>
      <x:c r="J120" s="18"/>
      <x:c r="K120" s="18" t="str">
        <x:f>IF(A120="","",IF(E120="Expired","",IF(E120="Check Duration","",COUNTIFS($A$5:$A$204,"&lt;"&amp;A120,$E$5:$E$204,"&lt;&gt;Expired",$E$5:$E$204,"&lt;&gt;Check Duration")+COUNTIFS($A$5:A120,A120,$E$5:E120,"&lt;&gt;Expired",$E$5:E120,"&lt;&gt;Check Duration"))))</x:f>
      </x:c>
      <x:c r="L120" s="18" t="str">
        <x:f>IF(A120="","",IFERROR(TEXTJOIN("; ",TRUE,FILTER('Benefit Resets'!$J$5:$J$204,'Benefit Resets'!$A$5:$A$204=A120,'Benefit Resets'!$L$5:$L$204="Yes")),""))</x:f>
      </x:c>
      <x:c r="M120" s="18" t="str">
        <x:f>IF(A120="","",IF(L120="",G120,G120&amp;" | "&amp;L120))</x:f>
      </x:c>
    </x:row>
    <x:row r="121">
      <x:c r="A121" s="18"/>
      <x:c r="B121" s="19"/>
      <x:c r="C121" s="18"/>
      <x:c r="D121" s="19" t="str">
        <x:f>IF(A121="","",IFERROR(B121+VLOOKUP(C121,Lists!$A$2:$B$101,2,FALSE),"Check duration"))</x:f>
      </x:c>
      <x:c r="E121" s="18" t="str">
        <x:f>IF(A121="","",IF(ISNUMBER(D121),IF(D121&lt;TODAY(),"Expired",IF(D121&lt;=TODAY()+7,"Expiring Soon","Active")),"Check Duration"))</x:f>
      </x:c>
      <x:c r="F121" s="18"/>
      <x:c r="G121" s="18"/>
      <x:c r="H121" s="18"/>
      <x:c r="I121" s="18"/>
      <x:c r="J121" s="18"/>
      <x:c r="K121" s="18" t="str">
        <x:f>IF(A121="","",IF(E121="Expired","",IF(E121="Check Duration","",COUNTIFS($A$5:$A$204,"&lt;"&amp;A121,$E$5:$E$204,"&lt;&gt;Expired",$E$5:$E$204,"&lt;&gt;Check Duration")+COUNTIFS($A$5:A121,A121,$E$5:E121,"&lt;&gt;Expired",$E$5:E121,"&lt;&gt;Check Duration"))))</x:f>
      </x:c>
      <x:c r="L121" s="18" t="str">
        <x:f>IF(A121="","",IFERROR(TEXTJOIN("; ",TRUE,FILTER('Benefit Resets'!$J$5:$J$204,'Benefit Resets'!$A$5:$A$204=A121,'Benefit Resets'!$L$5:$L$204="Yes")),""))</x:f>
      </x:c>
      <x:c r="M121" s="18" t="str">
        <x:f>IF(A121="","",IF(L121="",G121,G121&amp;" | "&amp;L121))</x:f>
      </x:c>
    </x:row>
    <x:row r="122">
      <x:c r="A122" s="18"/>
      <x:c r="B122" s="19"/>
      <x:c r="C122" s="18"/>
      <x:c r="D122" s="19" t="str">
        <x:f>IF(A122="","",IFERROR(B122+VLOOKUP(C122,Lists!$A$2:$B$101,2,FALSE),"Check duration"))</x:f>
      </x:c>
      <x:c r="E122" s="18" t="str">
        <x:f>IF(A122="","",IF(ISNUMBER(D122),IF(D122&lt;TODAY(),"Expired",IF(D122&lt;=TODAY()+7,"Expiring Soon","Active")),"Check Duration"))</x:f>
      </x:c>
      <x:c r="F122" s="18"/>
      <x:c r="G122" s="18"/>
      <x:c r="H122" s="18"/>
      <x:c r="I122" s="18"/>
      <x:c r="J122" s="18"/>
      <x:c r="K122" s="18" t="str">
        <x:f>IF(A122="","",IF(E122="Expired","",IF(E122="Check Duration","",COUNTIFS($A$5:$A$204,"&lt;"&amp;A122,$E$5:$E$204,"&lt;&gt;Expired",$E$5:$E$204,"&lt;&gt;Check Duration")+COUNTIFS($A$5:A122,A122,$E$5:E122,"&lt;&gt;Expired",$E$5:E122,"&lt;&gt;Check Duration"))))</x:f>
      </x:c>
      <x:c r="L122" s="18" t="str">
        <x:f>IF(A122="","",IFERROR(TEXTJOIN("; ",TRUE,FILTER('Benefit Resets'!$J$5:$J$204,'Benefit Resets'!$A$5:$A$204=A122,'Benefit Resets'!$L$5:$L$204="Yes")),""))</x:f>
      </x:c>
      <x:c r="M122" s="18" t="str">
        <x:f>IF(A122="","",IF(L122="",G122,G122&amp;" | "&amp;L122))</x:f>
      </x:c>
    </x:row>
    <x:row r="123">
      <x:c r="A123" s="18"/>
      <x:c r="B123" s="19"/>
      <x:c r="C123" s="18"/>
      <x:c r="D123" s="19" t="str">
        <x:f>IF(A123="","",IFERROR(B123+VLOOKUP(C123,Lists!$A$2:$B$101,2,FALSE),"Check duration"))</x:f>
      </x:c>
      <x:c r="E123" s="18" t="str">
        <x:f>IF(A123="","",IF(ISNUMBER(D123),IF(D123&lt;TODAY(),"Expired",IF(D123&lt;=TODAY()+7,"Expiring Soon","Active")),"Check Duration"))</x:f>
      </x:c>
      <x:c r="F123" s="18"/>
      <x:c r="G123" s="18"/>
      <x:c r="H123" s="18"/>
      <x:c r="I123" s="18"/>
      <x:c r="J123" s="18"/>
      <x:c r="K123" s="18" t="str">
        <x:f>IF(A123="","",IF(E123="Expired","",IF(E123="Check Duration","",COUNTIFS($A$5:$A$204,"&lt;"&amp;A123,$E$5:$E$204,"&lt;&gt;Expired",$E$5:$E$204,"&lt;&gt;Check Duration")+COUNTIFS($A$5:A123,A123,$E$5:E123,"&lt;&gt;Expired",$E$5:E123,"&lt;&gt;Check Duration"))))</x:f>
      </x:c>
      <x:c r="L123" s="18" t="str">
        <x:f>IF(A123="","",IFERROR(TEXTJOIN("; ",TRUE,FILTER('Benefit Resets'!$J$5:$J$204,'Benefit Resets'!$A$5:$A$204=A123,'Benefit Resets'!$L$5:$L$204="Yes")),""))</x:f>
      </x:c>
      <x:c r="M123" s="18" t="str">
        <x:f>IF(A123="","",IF(L123="",G123,G123&amp;" | "&amp;L123))</x:f>
      </x:c>
    </x:row>
    <x:row r="124">
      <x:c r="A124" s="18"/>
      <x:c r="B124" s="19"/>
      <x:c r="C124" s="18"/>
      <x:c r="D124" s="19" t="str">
        <x:f>IF(A124="","",IFERROR(B124+VLOOKUP(C124,Lists!$A$2:$B$101,2,FALSE),"Check duration"))</x:f>
      </x:c>
      <x:c r="E124" s="18" t="str">
        <x:f>IF(A124="","",IF(ISNUMBER(D124),IF(D124&lt;TODAY(),"Expired",IF(D124&lt;=TODAY()+7,"Expiring Soon","Active")),"Check Duration"))</x:f>
      </x:c>
      <x:c r="F124" s="18"/>
      <x:c r="G124" s="18"/>
      <x:c r="H124" s="18"/>
      <x:c r="I124" s="18"/>
      <x:c r="J124" s="18"/>
      <x:c r="K124" s="18" t="str">
        <x:f>IF(A124="","",IF(E124="Expired","",IF(E124="Check Duration","",COUNTIFS($A$5:$A$204,"&lt;"&amp;A124,$E$5:$E$204,"&lt;&gt;Expired",$E$5:$E$204,"&lt;&gt;Check Duration")+COUNTIFS($A$5:A124,A124,$E$5:E124,"&lt;&gt;Expired",$E$5:E124,"&lt;&gt;Check Duration"))))</x:f>
      </x:c>
      <x:c r="L124" s="18" t="str">
        <x:f>IF(A124="","",IFERROR(TEXTJOIN("; ",TRUE,FILTER('Benefit Resets'!$J$5:$J$204,'Benefit Resets'!$A$5:$A$204=A124,'Benefit Resets'!$L$5:$L$204="Yes")),""))</x:f>
      </x:c>
      <x:c r="M124" s="18" t="str">
        <x:f>IF(A124="","",IF(L124="",G124,G124&amp;" | "&amp;L124))</x:f>
      </x:c>
    </x:row>
    <x:row r="125">
      <x:c r="A125" s="18"/>
      <x:c r="B125" s="19"/>
      <x:c r="C125" s="18"/>
      <x:c r="D125" s="19" t="str">
        <x:f>IF(A125="","",IFERROR(B125+VLOOKUP(C125,Lists!$A$2:$B$101,2,FALSE),"Check duration"))</x:f>
      </x:c>
      <x:c r="E125" s="18" t="str">
        <x:f>IF(A125="","",IF(ISNUMBER(D125),IF(D125&lt;TODAY(),"Expired",IF(D125&lt;=TODAY()+7,"Expiring Soon","Active")),"Check Duration"))</x:f>
      </x:c>
      <x:c r="F125" s="18"/>
      <x:c r="G125" s="18"/>
      <x:c r="H125" s="18"/>
      <x:c r="I125" s="18"/>
      <x:c r="J125" s="18"/>
      <x:c r="K125" s="18" t="str">
        <x:f>IF(A125="","",IF(E125="Expired","",IF(E125="Check Duration","",COUNTIFS($A$5:$A$204,"&lt;"&amp;A125,$E$5:$E$204,"&lt;&gt;Expired",$E$5:$E$204,"&lt;&gt;Check Duration")+COUNTIFS($A$5:A125,A125,$E$5:E125,"&lt;&gt;Expired",$E$5:E125,"&lt;&gt;Check Duration"))))</x:f>
      </x:c>
      <x:c r="L125" s="18" t="str">
        <x:f>IF(A125="","",IFERROR(TEXTJOIN("; ",TRUE,FILTER('Benefit Resets'!$J$5:$J$204,'Benefit Resets'!$A$5:$A$204=A125,'Benefit Resets'!$L$5:$L$204="Yes")),""))</x:f>
      </x:c>
      <x:c r="M125" s="18" t="str">
        <x:f>IF(A125="","",IF(L125="",G125,G125&amp;" | "&amp;L125))</x:f>
      </x:c>
    </x:row>
    <x:row r="126">
      <x:c r="A126" s="18"/>
      <x:c r="B126" s="19"/>
      <x:c r="C126" s="18"/>
      <x:c r="D126" s="19" t="str">
        <x:f>IF(A126="","",IFERROR(B126+VLOOKUP(C126,Lists!$A$2:$B$101,2,FALSE),"Check duration"))</x:f>
      </x:c>
      <x:c r="E126" s="18" t="str">
        <x:f>IF(A126="","",IF(ISNUMBER(D126),IF(D126&lt;TODAY(),"Expired",IF(D126&lt;=TODAY()+7,"Expiring Soon","Active")),"Check Duration"))</x:f>
      </x:c>
      <x:c r="F126" s="18"/>
      <x:c r="G126" s="18"/>
      <x:c r="H126" s="18"/>
      <x:c r="I126" s="18"/>
      <x:c r="J126" s="18"/>
      <x:c r="K126" s="18" t="str">
        <x:f>IF(A126="","",IF(E126="Expired","",IF(E126="Check Duration","",COUNTIFS($A$5:$A$204,"&lt;"&amp;A126,$E$5:$E$204,"&lt;&gt;Expired",$E$5:$E$204,"&lt;&gt;Check Duration")+COUNTIFS($A$5:A126,A126,$E$5:E126,"&lt;&gt;Expired",$E$5:E126,"&lt;&gt;Check Duration"))))</x:f>
      </x:c>
      <x:c r="L126" s="18" t="str">
        <x:f>IF(A126="","",IFERROR(TEXTJOIN("; ",TRUE,FILTER('Benefit Resets'!$J$5:$J$204,'Benefit Resets'!$A$5:$A$204=A126,'Benefit Resets'!$L$5:$L$204="Yes")),""))</x:f>
      </x:c>
      <x:c r="M126" s="18" t="str">
        <x:f>IF(A126="","",IF(L126="",G126,G126&amp;" | "&amp;L126))</x:f>
      </x:c>
    </x:row>
    <x:row r="127">
      <x:c r="A127" s="18"/>
      <x:c r="B127" s="19"/>
      <x:c r="C127" s="18"/>
      <x:c r="D127" s="19" t="str">
        <x:f>IF(A127="","",IFERROR(B127+VLOOKUP(C127,Lists!$A$2:$B$101,2,FALSE),"Check duration"))</x:f>
      </x:c>
      <x:c r="E127" s="18" t="str">
        <x:f>IF(A127="","",IF(ISNUMBER(D127),IF(D127&lt;TODAY(),"Expired",IF(D127&lt;=TODAY()+7,"Expiring Soon","Active")),"Check Duration"))</x:f>
      </x:c>
      <x:c r="F127" s="18"/>
      <x:c r="G127" s="18"/>
      <x:c r="H127" s="18"/>
      <x:c r="I127" s="18"/>
      <x:c r="J127" s="18"/>
      <x:c r="K127" s="18" t="str">
        <x:f>IF(A127="","",IF(E127="Expired","",IF(E127="Check Duration","",COUNTIFS($A$5:$A$204,"&lt;"&amp;A127,$E$5:$E$204,"&lt;&gt;Expired",$E$5:$E$204,"&lt;&gt;Check Duration")+COUNTIFS($A$5:A127,A127,$E$5:E127,"&lt;&gt;Expired",$E$5:E127,"&lt;&gt;Check Duration"))))</x:f>
      </x:c>
      <x:c r="L127" s="18" t="str">
        <x:f>IF(A127="","",IFERROR(TEXTJOIN("; ",TRUE,FILTER('Benefit Resets'!$J$5:$J$204,'Benefit Resets'!$A$5:$A$204=A127,'Benefit Resets'!$L$5:$L$204="Yes")),""))</x:f>
      </x:c>
      <x:c r="M127" s="18" t="str">
        <x:f>IF(A127="","",IF(L127="",G127,G127&amp;" | "&amp;L127))</x:f>
      </x:c>
    </x:row>
    <x:row r="128">
      <x:c r="A128" s="18"/>
      <x:c r="B128" s="19"/>
      <x:c r="C128" s="18"/>
      <x:c r="D128" s="19" t="str">
        <x:f>IF(A128="","",IFERROR(B128+VLOOKUP(C128,Lists!$A$2:$B$101,2,FALSE),"Check duration"))</x:f>
      </x:c>
      <x:c r="E128" s="18" t="str">
        <x:f>IF(A128="","",IF(ISNUMBER(D128),IF(D128&lt;TODAY(),"Expired",IF(D128&lt;=TODAY()+7,"Expiring Soon","Active")),"Check Duration"))</x:f>
      </x:c>
      <x:c r="F128" s="18"/>
      <x:c r="G128" s="18"/>
      <x:c r="H128" s="18"/>
      <x:c r="I128" s="18"/>
      <x:c r="J128" s="18"/>
      <x:c r="K128" s="18" t="str">
        <x:f>IF(A128="","",IF(E128="Expired","",IF(E128="Check Duration","",COUNTIFS($A$5:$A$204,"&lt;"&amp;A128,$E$5:$E$204,"&lt;&gt;Expired",$E$5:$E$204,"&lt;&gt;Check Duration")+COUNTIFS($A$5:A128,A128,$E$5:E128,"&lt;&gt;Expired",$E$5:E128,"&lt;&gt;Check Duration"))))</x:f>
      </x:c>
      <x:c r="L128" s="18" t="str">
        <x:f>IF(A128="","",IFERROR(TEXTJOIN("; ",TRUE,FILTER('Benefit Resets'!$J$5:$J$204,'Benefit Resets'!$A$5:$A$204=A128,'Benefit Resets'!$L$5:$L$204="Yes")),""))</x:f>
      </x:c>
      <x:c r="M128" s="18" t="str">
        <x:f>IF(A128="","",IF(L128="",G128,G128&amp;" | "&amp;L128))</x:f>
      </x:c>
    </x:row>
    <x:row r="129">
      <x:c r="A129" s="18"/>
      <x:c r="B129" s="19"/>
      <x:c r="C129" s="18"/>
      <x:c r="D129" s="19" t="str">
        <x:f>IF(A129="","",IFERROR(B129+VLOOKUP(C129,Lists!$A$2:$B$101,2,FALSE),"Check duration"))</x:f>
      </x:c>
      <x:c r="E129" s="18" t="str">
        <x:f>IF(A129="","",IF(ISNUMBER(D129),IF(D129&lt;TODAY(),"Expired",IF(D129&lt;=TODAY()+7,"Expiring Soon","Active")),"Check Duration"))</x:f>
      </x:c>
      <x:c r="F129" s="18"/>
      <x:c r="G129" s="18"/>
      <x:c r="H129" s="18"/>
      <x:c r="I129" s="18"/>
      <x:c r="J129" s="18"/>
      <x:c r="K129" s="18" t="str">
        <x:f>IF(A129="","",IF(E129="Expired","",IF(E129="Check Duration","",COUNTIFS($A$5:$A$204,"&lt;"&amp;A129,$E$5:$E$204,"&lt;&gt;Expired",$E$5:$E$204,"&lt;&gt;Check Duration")+COUNTIFS($A$5:A129,A129,$E$5:E129,"&lt;&gt;Expired",$E$5:E129,"&lt;&gt;Check Duration"))))</x:f>
      </x:c>
      <x:c r="L129" s="18" t="str">
        <x:f>IF(A129="","",IFERROR(TEXTJOIN("; ",TRUE,FILTER('Benefit Resets'!$J$5:$J$204,'Benefit Resets'!$A$5:$A$204=A129,'Benefit Resets'!$L$5:$L$204="Yes")),""))</x:f>
      </x:c>
      <x:c r="M129" s="18" t="str">
        <x:f>IF(A129="","",IF(L129="",G129,G129&amp;" | "&amp;L129))</x:f>
      </x:c>
    </x:row>
    <x:row r="130">
      <x:c r="A130" s="18"/>
      <x:c r="B130" s="19"/>
      <x:c r="C130" s="18"/>
      <x:c r="D130" s="19" t="str">
        <x:f>IF(A130="","",IFERROR(B130+VLOOKUP(C130,Lists!$A$2:$B$101,2,FALSE),"Check duration"))</x:f>
      </x:c>
      <x:c r="E130" s="18" t="str">
        <x:f>IF(A130="","",IF(ISNUMBER(D130),IF(D130&lt;TODAY(),"Expired",IF(D130&lt;=TODAY()+7,"Expiring Soon","Active")),"Check Duration"))</x:f>
      </x:c>
      <x:c r="F130" s="18"/>
      <x:c r="G130" s="18"/>
      <x:c r="H130" s="18"/>
      <x:c r="I130" s="18"/>
      <x:c r="J130" s="18"/>
      <x:c r="K130" s="18" t="str">
        <x:f>IF(A130="","",IF(E130="Expired","",IF(E130="Check Duration","",COUNTIFS($A$5:$A$204,"&lt;"&amp;A130,$E$5:$E$204,"&lt;&gt;Expired",$E$5:$E$204,"&lt;&gt;Check Duration")+COUNTIFS($A$5:A130,A130,$E$5:E130,"&lt;&gt;Expired",$E$5:E130,"&lt;&gt;Check Duration"))))</x:f>
      </x:c>
      <x:c r="L130" s="18" t="str">
        <x:f>IF(A130="","",IFERROR(TEXTJOIN("; ",TRUE,FILTER('Benefit Resets'!$J$5:$J$204,'Benefit Resets'!$A$5:$A$204=A130,'Benefit Resets'!$L$5:$L$204="Yes")),""))</x:f>
      </x:c>
      <x:c r="M130" s="18" t="str">
        <x:f>IF(A130="","",IF(L130="",G130,G130&amp;" | "&amp;L130))</x:f>
      </x:c>
    </x:row>
    <x:row r="131">
      <x:c r="A131" s="18"/>
      <x:c r="B131" s="19"/>
      <x:c r="C131" s="18"/>
      <x:c r="D131" s="19" t="str">
        <x:f>IF(A131="","",IFERROR(B131+VLOOKUP(C131,Lists!$A$2:$B$101,2,FALSE),"Check duration"))</x:f>
      </x:c>
      <x:c r="E131" s="18" t="str">
        <x:f>IF(A131="","",IF(ISNUMBER(D131),IF(D131&lt;TODAY(),"Expired",IF(D131&lt;=TODAY()+7,"Expiring Soon","Active")),"Check Duration"))</x:f>
      </x:c>
      <x:c r="F131" s="18"/>
      <x:c r="G131" s="18"/>
      <x:c r="H131" s="18"/>
      <x:c r="I131" s="18"/>
      <x:c r="J131" s="18"/>
      <x:c r="K131" s="18" t="str">
        <x:f>IF(A131="","",IF(E131="Expired","",IF(E131="Check Duration","",COUNTIFS($A$5:$A$204,"&lt;"&amp;A131,$E$5:$E$204,"&lt;&gt;Expired",$E$5:$E$204,"&lt;&gt;Check Duration")+COUNTIFS($A$5:A131,A131,$E$5:E131,"&lt;&gt;Expired",$E$5:E131,"&lt;&gt;Check Duration"))))</x:f>
      </x:c>
      <x:c r="L131" s="18" t="str">
        <x:f>IF(A131="","",IFERROR(TEXTJOIN("; ",TRUE,FILTER('Benefit Resets'!$J$5:$J$204,'Benefit Resets'!$A$5:$A$204=A131,'Benefit Resets'!$L$5:$L$204="Yes")),""))</x:f>
      </x:c>
      <x:c r="M131" s="18" t="str">
        <x:f>IF(A131="","",IF(L131="",G131,G131&amp;" | "&amp;L131))</x:f>
      </x:c>
    </x:row>
    <x:row r="132">
      <x:c r="A132" s="18"/>
      <x:c r="B132" s="19"/>
      <x:c r="C132" s="18"/>
      <x:c r="D132" s="19" t="str">
        <x:f>IF(A132="","",IFERROR(B132+VLOOKUP(C132,Lists!$A$2:$B$101,2,FALSE),"Check duration"))</x:f>
      </x:c>
      <x:c r="E132" s="18" t="str">
        <x:f>IF(A132="","",IF(ISNUMBER(D132),IF(D132&lt;TODAY(),"Expired",IF(D132&lt;=TODAY()+7,"Expiring Soon","Active")),"Check Duration"))</x:f>
      </x:c>
      <x:c r="F132" s="18"/>
      <x:c r="G132" s="18"/>
      <x:c r="H132" s="18"/>
      <x:c r="I132" s="18"/>
      <x:c r="J132" s="18"/>
      <x:c r="K132" s="18" t="str">
        <x:f>IF(A132="","",IF(E132="Expired","",IF(E132="Check Duration","",COUNTIFS($A$5:$A$204,"&lt;"&amp;A132,$E$5:$E$204,"&lt;&gt;Expired",$E$5:$E$204,"&lt;&gt;Check Duration")+COUNTIFS($A$5:A132,A132,$E$5:E132,"&lt;&gt;Expired",$E$5:E132,"&lt;&gt;Check Duration"))))</x:f>
      </x:c>
      <x:c r="L132" s="18" t="str">
        <x:f>IF(A132="","",IFERROR(TEXTJOIN("; ",TRUE,FILTER('Benefit Resets'!$J$5:$J$204,'Benefit Resets'!$A$5:$A$204=A132,'Benefit Resets'!$L$5:$L$204="Yes")),""))</x:f>
      </x:c>
      <x:c r="M132" s="18" t="str">
        <x:f>IF(A132="","",IF(L132="",G132,G132&amp;" | "&amp;L132))</x:f>
      </x:c>
    </x:row>
    <x:row r="133">
      <x:c r="A133" s="18"/>
      <x:c r="B133" s="19"/>
      <x:c r="C133" s="18"/>
      <x:c r="D133" s="19" t="str">
        <x:f>IF(A133="","",IFERROR(B133+VLOOKUP(C133,Lists!$A$2:$B$101,2,FALSE),"Check duration"))</x:f>
      </x:c>
      <x:c r="E133" s="18" t="str">
        <x:f>IF(A133="","",IF(ISNUMBER(D133),IF(D133&lt;TODAY(),"Expired",IF(D133&lt;=TODAY()+7,"Expiring Soon","Active")),"Check Duration"))</x:f>
      </x:c>
      <x:c r="F133" s="18"/>
      <x:c r="G133" s="18"/>
      <x:c r="H133" s="18"/>
      <x:c r="I133" s="18"/>
      <x:c r="J133" s="18"/>
      <x:c r="K133" s="18" t="str">
        <x:f>IF(A133="","",IF(E133="Expired","",IF(E133="Check Duration","",COUNTIFS($A$5:$A$204,"&lt;"&amp;A133,$E$5:$E$204,"&lt;&gt;Expired",$E$5:$E$204,"&lt;&gt;Check Duration")+COUNTIFS($A$5:A133,A133,$E$5:E133,"&lt;&gt;Expired",$E$5:E133,"&lt;&gt;Check Duration"))))</x:f>
      </x:c>
      <x:c r="L133" s="18" t="str">
        <x:f>IF(A133="","",IFERROR(TEXTJOIN("; ",TRUE,FILTER('Benefit Resets'!$J$5:$J$204,'Benefit Resets'!$A$5:$A$204=A133,'Benefit Resets'!$L$5:$L$204="Yes")),""))</x:f>
      </x:c>
      <x:c r="M133" s="18" t="str">
        <x:f>IF(A133="","",IF(L133="",G133,G133&amp;" | "&amp;L133))</x:f>
      </x:c>
    </x:row>
    <x:row r="134">
      <x:c r="A134" s="18"/>
      <x:c r="B134" s="19"/>
      <x:c r="C134" s="18"/>
      <x:c r="D134" s="19" t="str">
        <x:f>IF(A134="","",IFERROR(B134+VLOOKUP(C134,Lists!$A$2:$B$101,2,FALSE),"Check duration"))</x:f>
      </x:c>
      <x:c r="E134" s="18" t="str">
        <x:f>IF(A134="","",IF(ISNUMBER(D134),IF(D134&lt;TODAY(),"Expired",IF(D134&lt;=TODAY()+7,"Expiring Soon","Active")),"Check Duration"))</x:f>
      </x:c>
      <x:c r="F134" s="18"/>
      <x:c r="G134" s="18"/>
      <x:c r="H134" s="18"/>
      <x:c r="I134" s="18"/>
      <x:c r="J134" s="18"/>
      <x:c r="K134" s="18" t="str">
        <x:f>IF(A134="","",IF(E134="Expired","",IF(E134="Check Duration","",COUNTIFS($A$5:$A$204,"&lt;"&amp;A134,$E$5:$E$204,"&lt;&gt;Expired",$E$5:$E$204,"&lt;&gt;Check Duration")+COUNTIFS($A$5:A134,A134,$E$5:E134,"&lt;&gt;Expired",$E$5:E134,"&lt;&gt;Check Duration"))))</x:f>
      </x:c>
      <x:c r="L134" s="18" t="str">
        <x:f>IF(A134="","",IFERROR(TEXTJOIN("; ",TRUE,FILTER('Benefit Resets'!$J$5:$J$204,'Benefit Resets'!$A$5:$A$204=A134,'Benefit Resets'!$L$5:$L$204="Yes")),""))</x:f>
      </x:c>
      <x:c r="M134" s="18" t="str">
        <x:f>IF(A134="","",IF(L134="",G134,G134&amp;" | "&amp;L134))</x:f>
      </x:c>
    </x:row>
    <x:row r="135">
      <x:c r="A135" s="18"/>
      <x:c r="B135" s="19"/>
      <x:c r="C135" s="18"/>
      <x:c r="D135" s="19" t="str">
        <x:f>IF(A135="","",IFERROR(B135+VLOOKUP(C135,Lists!$A$2:$B$101,2,FALSE),"Check duration"))</x:f>
      </x:c>
      <x:c r="E135" s="18" t="str">
        <x:f>IF(A135="","",IF(ISNUMBER(D135),IF(D135&lt;TODAY(),"Expired",IF(D135&lt;=TODAY()+7,"Expiring Soon","Active")),"Check Duration"))</x:f>
      </x:c>
      <x:c r="F135" s="18"/>
      <x:c r="G135" s="18"/>
      <x:c r="H135" s="18"/>
      <x:c r="I135" s="18"/>
      <x:c r="J135" s="18"/>
      <x:c r="K135" s="18" t="str">
        <x:f>IF(A135="","",IF(E135="Expired","",IF(E135="Check Duration","",COUNTIFS($A$5:$A$204,"&lt;"&amp;A135,$E$5:$E$204,"&lt;&gt;Expired",$E$5:$E$204,"&lt;&gt;Check Duration")+COUNTIFS($A$5:A135,A135,$E$5:E135,"&lt;&gt;Expired",$E$5:E135,"&lt;&gt;Check Duration"))))</x:f>
      </x:c>
      <x:c r="L135" s="18" t="str">
        <x:f>IF(A135="","",IFERROR(TEXTJOIN("; ",TRUE,FILTER('Benefit Resets'!$J$5:$J$204,'Benefit Resets'!$A$5:$A$204=A135,'Benefit Resets'!$L$5:$L$204="Yes")),""))</x:f>
      </x:c>
      <x:c r="M135" s="18" t="str">
        <x:f>IF(A135="","",IF(L135="",G135,G135&amp;" | "&amp;L135))</x:f>
      </x:c>
    </x:row>
    <x:row r="136">
      <x:c r="A136" s="18"/>
      <x:c r="B136" s="19"/>
      <x:c r="C136" s="18"/>
      <x:c r="D136" s="19" t="str">
        <x:f>IF(A136="","",IFERROR(B136+VLOOKUP(C136,Lists!$A$2:$B$101,2,FALSE),"Check duration"))</x:f>
      </x:c>
      <x:c r="E136" s="18" t="str">
        <x:f>IF(A136="","",IF(ISNUMBER(D136),IF(D136&lt;TODAY(),"Expired",IF(D136&lt;=TODAY()+7,"Expiring Soon","Active")),"Check Duration"))</x:f>
      </x:c>
      <x:c r="F136" s="18"/>
      <x:c r="G136" s="18"/>
      <x:c r="H136" s="18"/>
      <x:c r="I136" s="18"/>
      <x:c r="J136" s="18"/>
      <x:c r="K136" s="18" t="str">
        <x:f>IF(A136="","",IF(E136="Expired","",IF(E136="Check Duration","",COUNTIFS($A$5:$A$204,"&lt;"&amp;A136,$E$5:$E$204,"&lt;&gt;Expired",$E$5:$E$204,"&lt;&gt;Check Duration")+COUNTIFS($A$5:A136,A136,$E$5:E136,"&lt;&gt;Expired",$E$5:E136,"&lt;&gt;Check Duration"))))</x:f>
      </x:c>
      <x:c r="L136" s="18" t="str">
        <x:f>IF(A136="","",IFERROR(TEXTJOIN("; ",TRUE,FILTER('Benefit Resets'!$J$5:$J$204,'Benefit Resets'!$A$5:$A$204=A136,'Benefit Resets'!$L$5:$L$204="Yes")),""))</x:f>
      </x:c>
      <x:c r="M136" s="18" t="str">
        <x:f>IF(A136="","",IF(L136="",G136,G136&amp;" | "&amp;L136))</x:f>
      </x:c>
    </x:row>
    <x:row r="137">
      <x:c r="A137" s="18"/>
      <x:c r="B137" s="19"/>
      <x:c r="C137" s="18"/>
      <x:c r="D137" s="19" t="str">
        <x:f>IF(A137="","",IFERROR(B137+VLOOKUP(C137,Lists!$A$2:$B$101,2,FALSE),"Check duration"))</x:f>
      </x:c>
      <x:c r="E137" s="18" t="str">
        <x:f>IF(A137="","",IF(ISNUMBER(D137),IF(D137&lt;TODAY(),"Expired",IF(D137&lt;=TODAY()+7,"Expiring Soon","Active")),"Check Duration"))</x:f>
      </x:c>
      <x:c r="F137" s="18"/>
      <x:c r="G137" s="18"/>
      <x:c r="H137" s="18"/>
      <x:c r="I137" s="18"/>
      <x:c r="J137" s="18"/>
      <x:c r="K137" s="18" t="str">
        <x:f>IF(A137="","",IF(E137="Expired","",IF(E137="Check Duration","",COUNTIFS($A$5:$A$204,"&lt;"&amp;A137,$E$5:$E$204,"&lt;&gt;Expired",$E$5:$E$204,"&lt;&gt;Check Duration")+COUNTIFS($A$5:A137,A137,$E$5:E137,"&lt;&gt;Expired",$E$5:E137,"&lt;&gt;Check Duration"))))</x:f>
      </x:c>
      <x:c r="L137" s="18" t="str">
        <x:f>IF(A137="","",IFERROR(TEXTJOIN("; ",TRUE,FILTER('Benefit Resets'!$J$5:$J$204,'Benefit Resets'!$A$5:$A$204=A137,'Benefit Resets'!$L$5:$L$204="Yes")),""))</x:f>
      </x:c>
      <x:c r="M137" s="18" t="str">
        <x:f>IF(A137="","",IF(L137="",G137,G137&amp;" | "&amp;L137))</x:f>
      </x:c>
    </x:row>
    <x:row r="138">
      <x:c r="A138" s="18"/>
      <x:c r="B138" s="19"/>
      <x:c r="C138" s="18"/>
      <x:c r="D138" s="19" t="str">
        <x:f>IF(A138="","",IFERROR(B138+VLOOKUP(C138,Lists!$A$2:$B$101,2,FALSE),"Check duration"))</x:f>
      </x:c>
      <x:c r="E138" s="18" t="str">
        <x:f>IF(A138="","",IF(ISNUMBER(D138),IF(D138&lt;TODAY(),"Expired",IF(D138&lt;=TODAY()+7,"Expiring Soon","Active")),"Check Duration"))</x:f>
      </x:c>
      <x:c r="F138" s="18"/>
      <x:c r="G138" s="18"/>
      <x:c r="H138" s="18"/>
      <x:c r="I138" s="18"/>
      <x:c r="J138" s="18"/>
      <x:c r="K138" s="18" t="str">
        <x:f>IF(A138="","",IF(E138="Expired","",IF(E138="Check Duration","",COUNTIFS($A$5:$A$204,"&lt;"&amp;A138,$E$5:$E$204,"&lt;&gt;Expired",$E$5:$E$204,"&lt;&gt;Check Duration")+COUNTIFS($A$5:A138,A138,$E$5:E138,"&lt;&gt;Expired",$E$5:E138,"&lt;&gt;Check Duration"))))</x:f>
      </x:c>
      <x:c r="L138" s="18" t="str">
        <x:f>IF(A138="","",IFERROR(TEXTJOIN("; ",TRUE,FILTER('Benefit Resets'!$J$5:$J$204,'Benefit Resets'!$A$5:$A$204=A138,'Benefit Resets'!$L$5:$L$204="Yes")),""))</x:f>
      </x:c>
      <x:c r="M138" s="18" t="str">
        <x:f>IF(A138="","",IF(L138="",G138,G138&amp;" | "&amp;L138))</x:f>
      </x:c>
    </x:row>
    <x:row r="139">
      <x:c r="A139" s="18"/>
      <x:c r="B139" s="19"/>
      <x:c r="C139" s="18"/>
      <x:c r="D139" s="19" t="str">
        <x:f>IF(A139="","",IFERROR(B139+VLOOKUP(C139,Lists!$A$2:$B$101,2,FALSE),"Check duration"))</x:f>
      </x:c>
      <x:c r="E139" s="18" t="str">
        <x:f>IF(A139="","",IF(ISNUMBER(D139),IF(D139&lt;TODAY(),"Expired",IF(D139&lt;=TODAY()+7,"Expiring Soon","Active")),"Check Duration"))</x:f>
      </x:c>
      <x:c r="F139" s="18"/>
      <x:c r="G139" s="18"/>
      <x:c r="H139" s="18"/>
      <x:c r="I139" s="18"/>
      <x:c r="J139" s="18"/>
      <x:c r="K139" s="18" t="str">
        <x:f>IF(A139="","",IF(E139="Expired","",IF(E139="Check Duration","",COUNTIFS($A$5:$A$204,"&lt;"&amp;A139,$E$5:$E$204,"&lt;&gt;Expired",$E$5:$E$204,"&lt;&gt;Check Duration")+COUNTIFS($A$5:A139,A139,$E$5:E139,"&lt;&gt;Expired",$E$5:E139,"&lt;&gt;Check Duration"))))</x:f>
      </x:c>
      <x:c r="L139" s="18" t="str">
        <x:f>IF(A139="","",IFERROR(TEXTJOIN("; ",TRUE,FILTER('Benefit Resets'!$J$5:$J$204,'Benefit Resets'!$A$5:$A$204=A139,'Benefit Resets'!$L$5:$L$204="Yes")),""))</x:f>
      </x:c>
      <x:c r="M139" s="18" t="str">
        <x:f>IF(A139="","",IF(L139="",G139,G139&amp;" | "&amp;L139))</x:f>
      </x:c>
    </x:row>
    <x:row r="140">
      <x:c r="A140" s="18"/>
      <x:c r="B140" s="19"/>
      <x:c r="C140" s="18"/>
      <x:c r="D140" s="19" t="str">
        <x:f>IF(A140="","",IFERROR(B140+VLOOKUP(C140,Lists!$A$2:$B$101,2,FALSE),"Check duration"))</x:f>
      </x:c>
      <x:c r="E140" s="18" t="str">
        <x:f>IF(A140="","",IF(ISNUMBER(D140),IF(D140&lt;TODAY(),"Expired",IF(D140&lt;=TODAY()+7,"Expiring Soon","Active")),"Check Duration"))</x:f>
      </x:c>
      <x:c r="F140" s="18"/>
      <x:c r="G140" s="18"/>
      <x:c r="H140" s="18"/>
      <x:c r="I140" s="18"/>
      <x:c r="J140" s="18"/>
      <x:c r="K140" s="18" t="str">
        <x:f>IF(A140="","",IF(E140="Expired","",IF(E140="Check Duration","",COUNTIFS($A$5:$A$204,"&lt;"&amp;A140,$E$5:$E$204,"&lt;&gt;Expired",$E$5:$E$204,"&lt;&gt;Check Duration")+COUNTIFS($A$5:A140,A140,$E$5:E140,"&lt;&gt;Expired",$E$5:E140,"&lt;&gt;Check Duration"))))</x:f>
      </x:c>
      <x:c r="L140" s="18" t="str">
        <x:f>IF(A140="","",IFERROR(TEXTJOIN("; ",TRUE,FILTER('Benefit Resets'!$J$5:$J$204,'Benefit Resets'!$A$5:$A$204=A140,'Benefit Resets'!$L$5:$L$204="Yes")),""))</x:f>
      </x:c>
      <x:c r="M140" s="18" t="str">
        <x:f>IF(A140="","",IF(L140="",G140,G140&amp;" | "&amp;L140))</x:f>
      </x:c>
    </x:row>
    <x:row r="141">
      <x:c r="A141" s="18"/>
      <x:c r="B141" s="19"/>
      <x:c r="C141" s="18"/>
      <x:c r="D141" s="19" t="str">
        <x:f>IF(A141="","",IFERROR(B141+VLOOKUP(C141,Lists!$A$2:$B$101,2,FALSE),"Check duration"))</x:f>
      </x:c>
      <x:c r="E141" s="18" t="str">
        <x:f>IF(A141="","",IF(ISNUMBER(D141),IF(D141&lt;TODAY(),"Expired",IF(D141&lt;=TODAY()+7,"Expiring Soon","Active")),"Check Duration"))</x:f>
      </x:c>
      <x:c r="F141" s="18"/>
      <x:c r="G141" s="18"/>
      <x:c r="H141" s="18"/>
      <x:c r="I141" s="18"/>
      <x:c r="J141" s="18"/>
      <x:c r="K141" s="18" t="str">
        <x:f>IF(A141="","",IF(E141="Expired","",IF(E141="Check Duration","",COUNTIFS($A$5:$A$204,"&lt;"&amp;A141,$E$5:$E$204,"&lt;&gt;Expired",$E$5:$E$204,"&lt;&gt;Check Duration")+COUNTIFS($A$5:A141,A141,$E$5:E141,"&lt;&gt;Expired",$E$5:E141,"&lt;&gt;Check Duration"))))</x:f>
      </x:c>
      <x:c r="L141" s="18" t="str">
        <x:f>IF(A141="","",IFERROR(TEXTJOIN("; ",TRUE,FILTER('Benefit Resets'!$J$5:$J$204,'Benefit Resets'!$A$5:$A$204=A141,'Benefit Resets'!$L$5:$L$204="Yes")),""))</x:f>
      </x:c>
      <x:c r="M141" s="18" t="str">
        <x:f>IF(A141="","",IF(L141="",G141,G141&amp;" | "&amp;L141))</x:f>
      </x:c>
    </x:row>
    <x:row r="142">
      <x:c r="A142" s="18"/>
      <x:c r="B142" s="19"/>
      <x:c r="C142" s="18"/>
      <x:c r="D142" s="19" t="str">
        <x:f>IF(A142="","",IFERROR(B142+VLOOKUP(C142,Lists!$A$2:$B$101,2,FALSE),"Check duration"))</x:f>
      </x:c>
      <x:c r="E142" s="18" t="str">
        <x:f>IF(A142="","",IF(ISNUMBER(D142),IF(D142&lt;TODAY(),"Expired",IF(D142&lt;=TODAY()+7,"Expiring Soon","Active")),"Check Duration"))</x:f>
      </x:c>
      <x:c r="F142" s="18"/>
      <x:c r="G142" s="18"/>
      <x:c r="H142" s="18"/>
      <x:c r="I142" s="18"/>
      <x:c r="J142" s="18"/>
      <x:c r="K142" s="18" t="str">
        <x:f>IF(A142="","",IF(E142="Expired","",IF(E142="Check Duration","",COUNTIFS($A$5:$A$204,"&lt;"&amp;A142,$E$5:$E$204,"&lt;&gt;Expired",$E$5:$E$204,"&lt;&gt;Check Duration")+COUNTIFS($A$5:A142,A142,$E$5:E142,"&lt;&gt;Expired",$E$5:E142,"&lt;&gt;Check Duration"))))</x:f>
      </x:c>
      <x:c r="L142" s="18" t="str">
        <x:f>IF(A142="","",IFERROR(TEXTJOIN("; ",TRUE,FILTER('Benefit Resets'!$J$5:$J$204,'Benefit Resets'!$A$5:$A$204=A142,'Benefit Resets'!$L$5:$L$204="Yes")),""))</x:f>
      </x:c>
      <x:c r="M142" s="18" t="str">
        <x:f>IF(A142="","",IF(L142="",G142,G142&amp;" | "&amp;L142))</x:f>
      </x:c>
    </x:row>
    <x:row r="143">
      <x:c r="A143" s="18"/>
      <x:c r="B143" s="19"/>
      <x:c r="C143" s="18"/>
      <x:c r="D143" s="19" t="str">
        <x:f>IF(A143="","",IFERROR(B143+VLOOKUP(C143,Lists!$A$2:$B$101,2,FALSE),"Check duration"))</x:f>
      </x:c>
      <x:c r="E143" s="18" t="str">
        <x:f>IF(A143="","",IF(ISNUMBER(D143),IF(D143&lt;TODAY(),"Expired",IF(D143&lt;=TODAY()+7,"Expiring Soon","Active")),"Check Duration"))</x:f>
      </x:c>
      <x:c r="F143" s="18"/>
      <x:c r="G143" s="18"/>
      <x:c r="H143" s="18"/>
      <x:c r="I143" s="18"/>
      <x:c r="J143" s="18"/>
      <x:c r="K143" s="18" t="str">
        <x:f>IF(A143="","",IF(E143="Expired","",IF(E143="Check Duration","",COUNTIFS($A$5:$A$204,"&lt;"&amp;A143,$E$5:$E$204,"&lt;&gt;Expired",$E$5:$E$204,"&lt;&gt;Check Duration")+COUNTIFS($A$5:A143,A143,$E$5:E143,"&lt;&gt;Expired",$E$5:E143,"&lt;&gt;Check Duration"))))</x:f>
      </x:c>
      <x:c r="L143" s="18" t="str">
        <x:f>IF(A143="","",IFERROR(TEXTJOIN("; ",TRUE,FILTER('Benefit Resets'!$J$5:$J$204,'Benefit Resets'!$A$5:$A$204=A143,'Benefit Resets'!$L$5:$L$204="Yes")),""))</x:f>
      </x:c>
      <x:c r="M143" s="18" t="str">
        <x:f>IF(A143="","",IF(L143="",G143,G143&amp;" | "&amp;L143))</x:f>
      </x:c>
    </x:row>
    <x:row r="144">
      <x:c r="A144" s="18"/>
      <x:c r="B144" s="19"/>
      <x:c r="C144" s="18"/>
      <x:c r="D144" s="19" t="str">
        <x:f>IF(A144="","",IFERROR(B144+VLOOKUP(C144,Lists!$A$2:$B$101,2,FALSE),"Check duration"))</x:f>
      </x:c>
      <x:c r="E144" s="18" t="str">
        <x:f>IF(A144="","",IF(ISNUMBER(D144),IF(D144&lt;TODAY(),"Expired",IF(D144&lt;=TODAY()+7,"Expiring Soon","Active")),"Check Duration"))</x:f>
      </x:c>
      <x:c r="F144" s="18"/>
      <x:c r="G144" s="18"/>
      <x:c r="H144" s="18"/>
      <x:c r="I144" s="18"/>
      <x:c r="J144" s="18"/>
      <x:c r="K144" s="18" t="str">
        <x:f>IF(A144="","",IF(E144="Expired","",IF(E144="Check Duration","",COUNTIFS($A$5:$A$204,"&lt;"&amp;A144,$E$5:$E$204,"&lt;&gt;Expired",$E$5:$E$204,"&lt;&gt;Check Duration")+COUNTIFS($A$5:A144,A144,$E$5:E144,"&lt;&gt;Expired",$E$5:E144,"&lt;&gt;Check Duration"))))</x:f>
      </x:c>
      <x:c r="L144" s="18" t="str">
        <x:f>IF(A144="","",IFERROR(TEXTJOIN("; ",TRUE,FILTER('Benefit Resets'!$J$5:$J$204,'Benefit Resets'!$A$5:$A$204=A144,'Benefit Resets'!$L$5:$L$204="Yes")),""))</x:f>
      </x:c>
      <x:c r="M144" s="18" t="str">
        <x:f>IF(A144="","",IF(L144="",G144,G144&amp;" | "&amp;L144))</x:f>
      </x:c>
    </x:row>
    <x:row r="145">
      <x:c r="A145" s="18"/>
      <x:c r="B145" s="19"/>
      <x:c r="C145" s="18"/>
      <x:c r="D145" s="19" t="str">
        <x:f>IF(A145="","",IFERROR(B145+VLOOKUP(C145,Lists!$A$2:$B$101,2,FALSE),"Check duration"))</x:f>
      </x:c>
      <x:c r="E145" s="18" t="str">
        <x:f>IF(A145="","",IF(ISNUMBER(D145),IF(D145&lt;TODAY(),"Expired",IF(D145&lt;=TODAY()+7,"Expiring Soon","Active")),"Check Duration"))</x:f>
      </x:c>
      <x:c r="F145" s="18"/>
      <x:c r="G145" s="18"/>
      <x:c r="H145" s="18"/>
      <x:c r="I145" s="18"/>
      <x:c r="J145" s="18"/>
      <x:c r="K145" s="18" t="str">
        <x:f>IF(A145="","",IF(E145="Expired","",IF(E145="Check Duration","",COUNTIFS($A$5:$A$204,"&lt;"&amp;A145,$E$5:$E$204,"&lt;&gt;Expired",$E$5:$E$204,"&lt;&gt;Check Duration")+COUNTIFS($A$5:A145,A145,$E$5:E145,"&lt;&gt;Expired",$E$5:E145,"&lt;&gt;Check Duration"))))</x:f>
      </x:c>
      <x:c r="L145" s="18" t="str">
        <x:f>IF(A145="","",IFERROR(TEXTJOIN("; ",TRUE,FILTER('Benefit Resets'!$J$5:$J$204,'Benefit Resets'!$A$5:$A$204=A145,'Benefit Resets'!$L$5:$L$204="Yes")),""))</x:f>
      </x:c>
      <x:c r="M145" s="18" t="str">
        <x:f>IF(A145="","",IF(L145="",G145,G145&amp;" | "&amp;L145))</x:f>
      </x:c>
    </x:row>
    <x:row r="146">
      <x:c r="A146" s="18"/>
      <x:c r="B146" s="19"/>
      <x:c r="C146" s="18"/>
      <x:c r="D146" s="19" t="str">
        <x:f>IF(A146="","",IFERROR(B146+VLOOKUP(C146,Lists!$A$2:$B$101,2,FALSE),"Check duration"))</x:f>
      </x:c>
      <x:c r="E146" s="18" t="str">
        <x:f>IF(A146="","",IF(ISNUMBER(D146),IF(D146&lt;TODAY(),"Expired",IF(D146&lt;=TODAY()+7,"Expiring Soon","Active")),"Check Duration"))</x:f>
      </x:c>
      <x:c r="F146" s="18"/>
      <x:c r="G146" s="18"/>
      <x:c r="H146" s="18"/>
      <x:c r="I146" s="18"/>
      <x:c r="J146" s="18"/>
      <x:c r="K146" s="18" t="str">
        <x:f>IF(A146="","",IF(E146="Expired","",IF(E146="Check Duration","",COUNTIFS($A$5:$A$204,"&lt;"&amp;A146,$E$5:$E$204,"&lt;&gt;Expired",$E$5:$E$204,"&lt;&gt;Check Duration")+COUNTIFS($A$5:A146,A146,$E$5:E146,"&lt;&gt;Expired",$E$5:E146,"&lt;&gt;Check Duration"))))</x:f>
      </x:c>
      <x:c r="L146" s="18" t="str">
        <x:f>IF(A146="","",IFERROR(TEXTJOIN("; ",TRUE,FILTER('Benefit Resets'!$J$5:$J$204,'Benefit Resets'!$A$5:$A$204=A146,'Benefit Resets'!$L$5:$L$204="Yes")),""))</x:f>
      </x:c>
      <x:c r="M146" s="18" t="str">
        <x:f>IF(A146="","",IF(L146="",G146,G146&amp;" | "&amp;L146))</x:f>
      </x:c>
    </x:row>
    <x:row r="147">
      <x:c r="A147" s="18"/>
      <x:c r="B147" s="19"/>
      <x:c r="C147" s="18"/>
      <x:c r="D147" s="19" t="str">
        <x:f>IF(A147="","",IFERROR(B147+VLOOKUP(C147,Lists!$A$2:$B$101,2,FALSE),"Check duration"))</x:f>
      </x:c>
      <x:c r="E147" s="18" t="str">
        <x:f>IF(A147="","",IF(ISNUMBER(D147),IF(D147&lt;TODAY(),"Expired",IF(D147&lt;=TODAY()+7,"Expiring Soon","Active")),"Check Duration"))</x:f>
      </x:c>
      <x:c r="F147" s="18"/>
      <x:c r="G147" s="18"/>
      <x:c r="H147" s="18"/>
      <x:c r="I147" s="18"/>
      <x:c r="J147" s="18"/>
      <x:c r="K147" s="18" t="str">
        <x:f>IF(A147="","",IF(E147="Expired","",IF(E147="Check Duration","",COUNTIFS($A$5:$A$204,"&lt;"&amp;A147,$E$5:$E$204,"&lt;&gt;Expired",$E$5:$E$204,"&lt;&gt;Check Duration")+COUNTIFS($A$5:A147,A147,$E$5:E147,"&lt;&gt;Expired",$E$5:E147,"&lt;&gt;Check Duration"))))</x:f>
      </x:c>
      <x:c r="L147" s="18" t="str">
        <x:f>IF(A147="","",IFERROR(TEXTJOIN("; ",TRUE,FILTER('Benefit Resets'!$J$5:$J$204,'Benefit Resets'!$A$5:$A$204=A147,'Benefit Resets'!$L$5:$L$204="Yes")),""))</x:f>
      </x:c>
      <x:c r="M147" s="18" t="str">
        <x:f>IF(A147="","",IF(L147="",G147,G147&amp;" | "&amp;L147))</x:f>
      </x:c>
    </x:row>
    <x:row r="148">
      <x:c r="A148" s="18"/>
      <x:c r="B148" s="19"/>
      <x:c r="C148" s="18"/>
      <x:c r="D148" s="19" t="str">
        <x:f>IF(A148="","",IFERROR(B148+VLOOKUP(C148,Lists!$A$2:$B$101,2,FALSE),"Check duration"))</x:f>
      </x:c>
      <x:c r="E148" s="18" t="str">
        <x:f>IF(A148="","",IF(ISNUMBER(D148),IF(D148&lt;TODAY(),"Expired",IF(D148&lt;=TODAY()+7,"Expiring Soon","Active")),"Check Duration"))</x:f>
      </x:c>
      <x:c r="F148" s="18"/>
      <x:c r="G148" s="18"/>
      <x:c r="H148" s="18"/>
      <x:c r="I148" s="18"/>
      <x:c r="J148" s="18"/>
      <x:c r="K148" s="18" t="str">
        <x:f>IF(A148="","",IF(E148="Expired","",IF(E148="Check Duration","",COUNTIFS($A$5:$A$204,"&lt;"&amp;A148,$E$5:$E$204,"&lt;&gt;Expired",$E$5:$E$204,"&lt;&gt;Check Duration")+COUNTIFS($A$5:A148,A148,$E$5:E148,"&lt;&gt;Expired",$E$5:E148,"&lt;&gt;Check Duration"))))</x:f>
      </x:c>
      <x:c r="L148" s="18" t="str">
        <x:f>IF(A148="","",IFERROR(TEXTJOIN("; ",TRUE,FILTER('Benefit Resets'!$J$5:$J$204,'Benefit Resets'!$A$5:$A$204=A148,'Benefit Resets'!$L$5:$L$204="Yes")),""))</x:f>
      </x:c>
      <x:c r="M148" s="18" t="str">
        <x:f>IF(A148="","",IF(L148="",G148,G148&amp;" | "&amp;L148))</x:f>
      </x:c>
    </x:row>
    <x:row r="149">
      <x:c r="A149" s="18"/>
      <x:c r="B149" s="19"/>
      <x:c r="C149" s="18"/>
      <x:c r="D149" s="19" t="str">
        <x:f>IF(A149="","",IFERROR(B149+VLOOKUP(C149,Lists!$A$2:$B$101,2,FALSE),"Check duration"))</x:f>
      </x:c>
      <x:c r="E149" s="18" t="str">
        <x:f>IF(A149="","",IF(ISNUMBER(D149),IF(D149&lt;TODAY(),"Expired",IF(D149&lt;=TODAY()+7,"Expiring Soon","Active")),"Check Duration"))</x:f>
      </x:c>
      <x:c r="F149" s="18"/>
      <x:c r="G149" s="18"/>
      <x:c r="H149" s="18"/>
      <x:c r="I149" s="18"/>
      <x:c r="J149" s="18"/>
      <x:c r="K149" s="18" t="str">
        <x:f>IF(A149="","",IF(E149="Expired","",IF(E149="Check Duration","",COUNTIFS($A$5:$A$204,"&lt;"&amp;A149,$E$5:$E$204,"&lt;&gt;Expired",$E$5:$E$204,"&lt;&gt;Check Duration")+COUNTIFS($A$5:A149,A149,$E$5:E149,"&lt;&gt;Expired",$E$5:E149,"&lt;&gt;Check Duration"))))</x:f>
      </x:c>
      <x:c r="L149" s="18" t="str">
        <x:f>IF(A149="","",IFERROR(TEXTJOIN("; ",TRUE,FILTER('Benefit Resets'!$J$5:$J$204,'Benefit Resets'!$A$5:$A$204=A149,'Benefit Resets'!$L$5:$L$204="Yes")),""))</x:f>
      </x:c>
      <x:c r="M149" s="18" t="str">
        <x:f>IF(A149="","",IF(L149="",G149,G149&amp;" | "&amp;L149))</x:f>
      </x:c>
    </x:row>
    <x:row r="150">
      <x:c r="A150" s="18"/>
      <x:c r="B150" s="19"/>
      <x:c r="C150" s="18"/>
      <x:c r="D150" s="19" t="str">
        <x:f>IF(A150="","",IFERROR(B150+VLOOKUP(C150,Lists!$A$2:$B$101,2,FALSE),"Check duration"))</x:f>
      </x:c>
      <x:c r="E150" s="18" t="str">
        <x:f>IF(A150="","",IF(ISNUMBER(D150),IF(D150&lt;TODAY(),"Expired",IF(D150&lt;=TODAY()+7,"Expiring Soon","Active")),"Check Duration"))</x:f>
      </x:c>
      <x:c r="F150" s="18"/>
      <x:c r="G150" s="18"/>
      <x:c r="H150" s="18"/>
      <x:c r="I150" s="18"/>
      <x:c r="J150" s="18"/>
      <x:c r="K150" s="18" t="str">
        <x:f>IF(A150="","",IF(E150="Expired","",IF(E150="Check Duration","",COUNTIFS($A$5:$A$204,"&lt;"&amp;A150,$E$5:$E$204,"&lt;&gt;Expired",$E$5:$E$204,"&lt;&gt;Check Duration")+COUNTIFS($A$5:A150,A150,$E$5:E150,"&lt;&gt;Expired",$E$5:E150,"&lt;&gt;Check Duration"))))</x:f>
      </x:c>
      <x:c r="L150" s="18" t="str">
        <x:f>IF(A150="","",IFERROR(TEXTJOIN("; ",TRUE,FILTER('Benefit Resets'!$J$5:$J$204,'Benefit Resets'!$A$5:$A$204=A150,'Benefit Resets'!$L$5:$L$204="Yes")),""))</x:f>
      </x:c>
      <x:c r="M150" s="18" t="str">
        <x:f>IF(A150="","",IF(L150="",G150,G150&amp;" | "&amp;L150))</x:f>
      </x:c>
    </x:row>
    <x:row r="151">
      <x:c r="A151" s="18"/>
      <x:c r="B151" s="19"/>
      <x:c r="C151" s="18"/>
      <x:c r="D151" s="19" t="str">
        <x:f>IF(A151="","",IFERROR(B151+VLOOKUP(C151,Lists!$A$2:$B$101,2,FALSE),"Check duration"))</x:f>
      </x:c>
      <x:c r="E151" s="18" t="str">
        <x:f>IF(A151="","",IF(ISNUMBER(D151),IF(D151&lt;TODAY(),"Expired",IF(D151&lt;=TODAY()+7,"Expiring Soon","Active")),"Check Duration"))</x:f>
      </x:c>
      <x:c r="F151" s="18"/>
      <x:c r="G151" s="18"/>
      <x:c r="H151" s="18"/>
      <x:c r="I151" s="18"/>
      <x:c r="J151" s="18"/>
      <x:c r="K151" s="18" t="str">
        <x:f>IF(A151="","",IF(E151="Expired","",IF(E151="Check Duration","",COUNTIFS($A$5:$A$204,"&lt;"&amp;A151,$E$5:$E$204,"&lt;&gt;Expired",$E$5:$E$204,"&lt;&gt;Check Duration")+COUNTIFS($A$5:A151,A151,$E$5:E151,"&lt;&gt;Expired",$E$5:E151,"&lt;&gt;Check Duration"))))</x:f>
      </x:c>
      <x:c r="L151" s="18" t="str">
        <x:f>IF(A151="","",IFERROR(TEXTJOIN("; ",TRUE,FILTER('Benefit Resets'!$J$5:$J$204,'Benefit Resets'!$A$5:$A$204=A151,'Benefit Resets'!$L$5:$L$204="Yes")),""))</x:f>
      </x:c>
      <x:c r="M151" s="18" t="str">
        <x:f>IF(A151="","",IF(L151="",G151,G151&amp;" | "&amp;L151))</x:f>
      </x:c>
    </x:row>
    <x:row r="152">
      <x:c r="A152" s="18"/>
      <x:c r="B152" s="19"/>
      <x:c r="C152" s="18"/>
      <x:c r="D152" s="19" t="str">
        <x:f>IF(A152="","",IFERROR(B152+VLOOKUP(C152,Lists!$A$2:$B$101,2,FALSE),"Check duration"))</x:f>
      </x:c>
      <x:c r="E152" s="18" t="str">
        <x:f>IF(A152="","",IF(ISNUMBER(D152),IF(D152&lt;TODAY(),"Expired",IF(D152&lt;=TODAY()+7,"Expiring Soon","Active")),"Check Duration"))</x:f>
      </x:c>
      <x:c r="F152" s="18"/>
      <x:c r="G152" s="18"/>
      <x:c r="H152" s="18"/>
      <x:c r="I152" s="18"/>
      <x:c r="J152" s="18"/>
      <x:c r="K152" s="18" t="str">
        <x:f>IF(A152="","",IF(E152="Expired","",IF(E152="Check Duration","",COUNTIFS($A$5:$A$204,"&lt;"&amp;A152,$E$5:$E$204,"&lt;&gt;Expired",$E$5:$E$204,"&lt;&gt;Check Duration")+COUNTIFS($A$5:A152,A152,$E$5:E152,"&lt;&gt;Expired",$E$5:E152,"&lt;&gt;Check Duration"))))</x:f>
      </x:c>
      <x:c r="L152" s="18" t="str">
        <x:f>IF(A152="","",IFERROR(TEXTJOIN("; ",TRUE,FILTER('Benefit Resets'!$J$5:$J$204,'Benefit Resets'!$A$5:$A$204=A152,'Benefit Resets'!$L$5:$L$204="Yes")),""))</x:f>
      </x:c>
      <x:c r="M152" s="18" t="str">
        <x:f>IF(A152="","",IF(L152="",G152,G152&amp;" | "&amp;L152))</x:f>
      </x:c>
    </x:row>
    <x:row r="153">
      <x:c r="A153" s="18"/>
      <x:c r="B153" s="19"/>
      <x:c r="C153" s="18"/>
      <x:c r="D153" s="19" t="str">
        <x:f>IF(A153="","",IFERROR(B153+VLOOKUP(C153,Lists!$A$2:$B$101,2,FALSE),"Check duration"))</x:f>
      </x:c>
      <x:c r="E153" s="18" t="str">
        <x:f>IF(A153="","",IF(ISNUMBER(D153),IF(D153&lt;TODAY(),"Expired",IF(D153&lt;=TODAY()+7,"Expiring Soon","Active")),"Check Duration"))</x:f>
      </x:c>
      <x:c r="F153" s="18"/>
      <x:c r="G153" s="18"/>
      <x:c r="H153" s="18"/>
      <x:c r="I153" s="18"/>
      <x:c r="J153" s="18"/>
      <x:c r="K153" s="18" t="str">
        <x:f>IF(A153="","",IF(E153="Expired","",IF(E153="Check Duration","",COUNTIFS($A$5:$A$204,"&lt;"&amp;A153,$E$5:$E$204,"&lt;&gt;Expired",$E$5:$E$204,"&lt;&gt;Check Duration")+COUNTIFS($A$5:A153,A153,$E$5:E153,"&lt;&gt;Expired",$E$5:E153,"&lt;&gt;Check Duration"))))</x:f>
      </x:c>
      <x:c r="L153" s="18" t="str">
        <x:f>IF(A153="","",IFERROR(TEXTJOIN("; ",TRUE,FILTER('Benefit Resets'!$J$5:$J$204,'Benefit Resets'!$A$5:$A$204=A153,'Benefit Resets'!$L$5:$L$204="Yes")),""))</x:f>
      </x:c>
      <x:c r="M153" s="18" t="str">
        <x:f>IF(A153="","",IF(L153="",G153,G153&amp;" | "&amp;L153))</x:f>
      </x:c>
    </x:row>
    <x:row r="154">
      <x:c r="A154" s="18"/>
      <x:c r="B154" s="19"/>
      <x:c r="C154" s="18"/>
      <x:c r="D154" s="19" t="str">
        <x:f>IF(A154="","",IFERROR(B154+VLOOKUP(C154,Lists!$A$2:$B$101,2,FALSE),"Check duration"))</x:f>
      </x:c>
      <x:c r="E154" s="18" t="str">
        <x:f>IF(A154="","",IF(ISNUMBER(D154),IF(D154&lt;TODAY(),"Expired",IF(D154&lt;=TODAY()+7,"Expiring Soon","Active")),"Check Duration"))</x:f>
      </x:c>
      <x:c r="F154" s="18"/>
      <x:c r="G154" s="18"/>
      <x:c r="H154" s="18"/>
      <x:c r="I154" s="18"/>
      <x:c r="J154" s="18"/>
      <x:c r="K154" s="18" t="str">
        <x:f>IF(A154="","",IF(E154="Expired","",IF(E154="Check Duration","",COUNTIFS($A$5:$A$204,"&lt;"&amp;A154,$E$5:$E$204,"&lt;&gt;Expired",$E$5:$E$204,"&lt;&gt;Check Duration")+COUNTIFS($A$5:A154,A154,$E$5:E154,"&lt;&gt;Expired",$E$5:E154,"&lt;&gt;Check Duration"))))</x:f>
      </x:c>
      <x:c r="L154" s="18" t="str">
        <x:f>IF(A154="","",IFERROR(TEXTJOIN("; ",TRUE,FILTER('Benefit Resets'!$J$5:$J$204,'Benefit Resets'!$A$5:$A$204=A154,'Benefit Resets'!$L$5:$L$204="Yes")),""))</x:f>
      </x:c>
      <x:c r="M154" s="18" t="str">
        <x:f>IF(A154="","",IF(L154="",G154,G154&amp;" | "&amp;L154))</x:f>
      </x:c>
    </x:row>
    <x:row r="155">
      <x:c r="A155" s="18"/>
      <x:c r="B155" s="19"/>
      <x:c r="C155" s="18"/>
      <x:c r="D155" s="19" t="str">
        <x:f>IF(A155="","",IFERROR(B155+VLOOKUP(C155,Lists!$A$2:$B$101,2,FALSE),"Check duration"))</x:f>
      </x:c>
      <x:c r="E155" s="18" t="str">
        <x:f>IF(A155="","",IF(ISNUMBER(D155),IF(D155&lt;TODAY(),"Expired",IF(D155&lt;=TODAY()+7,"Expiring Soon","Active")),"Check Duration"))</x:f>
      </x:c>
      <x:c r="F155" s="18"/>
      <x:c r="G155" s="18"/>
      <x:c r="H155" s="18"/>
      <x:c r="I155" s="18"/>
      <x:c r="J155" s="18"/>
      <x:c r="K155" s="18" t="str">
        <x:f>IF(A155="","",IF(E155="Expired","",IF(E155="Check Duration","",COUNTIFS($A$5:$A$204,"&lt;"&amp;A155,$E$5:$E$204,"&lt;&gt;Expired",$E$5:$E$204,"&lt;&gt;Check Duration")+COUNTIFS($A$5:A155,A155,$E$5:E155,"&lt;&gt;Expired",$E$5:E155,"&lt;&gt;Check Duration"))))</x:f>
      </x:c>
      <x:c r="L155" s="18" t="str">
        <x:f>IF(A155="","",IFERROR(TEXTJOIN("; ",TRUE,FILTER('Benefit Resets'!$J$5:$J$204,'Benefit Resets'!$A$5:$A$204=A155,'Benefit Resets'!$L$5:$L$204="Yes")),""))</x:f>
      </x:c>
      <x:c r="M155" s="18" t="str">
        <x:f>IF(A155="","",IF(L155="",G155,G155&amp;" | "&amp;L155))</x:f>
      </x:c>
    </x:row>
    <x:row r="156">
      <x:c r="A156" s="18"/>
      <x:c r="B156" s="19"/>
      <x:c r="C156" s="18"/>
      <x:c r="D156" s="19" t="str">
        <x:f>IF(A156="","",IFERROR(B156+VLOOKUP(C156,Lists!$A$2:$B$101,2,FALSE),"Check duration"))</x:f>
      </x:c>
      <x:c r="E156" s="18" t="str">
        <x:f>IF(A156="","",IF(ISNUMBER(D156),IF(D156&lt;TODAY(),"Expired",IF(D156&lt;=TODAY()+7,"Expiring Soon","Active")),"Check Duration"))</x:f>
      </x:c>
      <x:c r="F156" s="18"/>
      <x:c r="G156" s="18"/>
      <x:c r="H156" s="18"/>
      <x:c r="I156" s="18"/>
      <x:c r="J156" s="18"/>
      <x:c r="K156" s="18" t="str">
        <x:f>IF(A156="","",IF(E156="Expired","",IF(E156="Check Duration","",COUNTIFS($A$5:$A$204,"&lt;"&amp;A156,$E$5:$E$204,"&lt;&gt;Expired",$E$5:$E$204,"&lt;&gt;Check Duration")+COUNTIFS($A$5:A156,A156,$E$5:E156,"&lt;&gt;Expired",$E$5:E156,"&lt;&gt;Check Duration"))))</x:f>
      </x:c>
      <x:c r="L156" s="18" t="str">
        <x:f>IF(A156="","",IFERROR(TEXTJOIN("; ",TRUE,FILTER('Benefit Resets'!$J$5:$J$204,'Benefit Resets'!$A$5:$A$204=A156,'Benefit Resets'!$L$5:$L$204="Yes")),""))</x:f>
      </x:c>
      <x:c r="M156" s="18" t="str">
        <x:f>IF(A156="","",IF(L156="",G156,G156&amp;" | "&amp;L156))</x:f>
      </x:c>
    </x:row>
    <x:row r="157">
      <x:c r="A157" s="18"/>
      <x:c r="B157" s="19"/>
      <x:c r="C157" s="18"/>
      <x:c r="D157" s="19" t="str">
        <x:f>IF(A157="","",IFERROR(B157+VLOOKUP(C157,Lists!$A$2:$B$101,2,FALSE),"Check duration"))</x:f>
      </x:c>
      <x:c r="E157" s="18" t="str">
        <x:f>IF(A157="","",IF(ISNUMBER(D157),IF(D157&lt;TODAY(),"Expired",IF(D157&lt;=TODAY()+7,"Expiring Soon","Active")),"Check Duration"))</x:f>
      </x:c>
      <x:c r="F157" s="18"/>
      <x:c r="G157" s="18"/>
      <x:c r="H157" s="18"/>
      <x:c r="I157" s="18"/>
      <x:c r="J157" s="18"/>
      <x:c r="K157" s="18" t="str">
        <x:f>IF(A157="","",IF(E157="Expired","",IF(E157="Check Duration","",COUNTIFS($A$5:$A$204,"&lt;"&amp;A157,$E$5:$E$204,"&lt;&gt;Expired",$E$5:$E$204,"&lt;&gt;Check Duration")+COUNTIFS($A$5:A157,A157,$E$5:E157,"&lt;&gt;Expired",$E$5:E157,"&lt;&gt;Check Duration"))))</x:f>
      </x:c>
      <x:c r="L157" s="18" t="str">
        <x:f>IF(A157="","",IFERROR(TEXTJOIN("; ",TRUE,FILTER('Benefit Resets'!$J$5:$J$204,'Benefit Resets'!$A$5:$A$204=A157,'Benefit Resets'!$L$5:$L$204="Yes")),""))</x:f>
      </x:c>
      <x:c r="M157" s="18" t="str">
        <x:f>IF(A157="","",IF(L157="",G157,G157&amp;" | "&amp;L157))</x:f>
      </x:c>
    </x:row>
    <x:row r="158">
      <x:c r="A158" s="18"/>
      <x:c r="B158" s="19"/>
      <x:c r="C158" s="18"/>
      <x:c r="D158" s="19" t="str">
        <x:f>IF(A158="","",IFERROR(B158+VLOOKUP(C158,Lists!$A$2:$B$101,2,FALSE),"Check duration"))</x:f>
      </x:c>
      <x:c r="E158" s="18" t="str">
        <x:f>IF(A158="","",IF(ISNUMBER(D158),IF(D158&lt;TODAY(),"Expired",IF(D158&lt;=TODAY()+7,"Expiring Soon","Active")),"Check Duration"))</x:f>
      </x:c>
      <x:c r="F158" s="18"/>
      <x:c r="G158" s="18"/>
      <x:c r="H158" s="18"/>
      <x:c r="I158" s="18"/>
      <x:c r="J158" s="18"/>
      <x:c r="K158" s="18" t="str">
        <x:f>IF(A158="","",IF(E158="Expired","",IF(E158="Check Duration","",COUNTIFS($A$5:$A$204,"&lt;"&amp;A158,$E$5:$E$204,"&lt;&gt;Expired",$E$5:$E$204,"&lt;&gt;Check Duration")+COUNTIFS($A$5:A158,A158,$E$5:E158,"&lt;&gt;Expired",$E$5:E158,"&lt;&gt;Check Duration"))))</x:f>
      </x:c>
      <x:c r="L158" s="18" t="str">
        <x:f>IF(A158="","",IFERROR(TEXTJOIN("; ",TRUE,FILTER('Benefit Resets'!$J$5:$J$204,'Benefit Resets'!$A$5:$A$204=A158,'Benefit Resets'!$L$5:$L$204="Yes")),""))</x:f>
      </x:c>
      <x:c r="M158" s="18" t="str">
        <x:f>IF(A158="","",IF(L158="",G158,G158&amp;" | "&amp;L158))</x:f>
      </x:c>
    </x:row>
    <x:row r="159">
      <x:c r="A159" s="18"/>
      <x:c r="B159" s="19"/>
      <x:c r="C159" s="18"/>
      <x:c r="D159" s="19" t="str">
        <x:f>IF(A159="","",IFERROR(B159+VLOOKUP(C159,Lists!$A$2:$B$101,2,FALSE),"Check duration"))</x:f>
      </x:c>
      <x:c r="E159" s="18" t="str">
        <x:f>IF(A159="","",IF(ISNUMBER(D159),IF(D159&lt;TODAY(),"Expired",IF(D159&lt;=TODAY()+7,"Expiring Soon","Active")),"Check Duration"))</x:f>
      </x:c>
      <x:c r="F159" s="18"/>
      <x:c r="G159" s="18"/>
      <x:c r="H159" s="18"/>
      <x:c r="I159" s="18"/>
      <x:c r="J159" s="18"/>
      <x:c r="K159" s="18" t="str">
        <x:f>IF(A159="","",IF(E159="Expired","",IF(E159="Check Duration","",COUNTIFS($A$5:$A$204,"&lt;"&amp;A159,$E$5:$E$204,"&lt;&gt;Expired",$E$5:$E$204,"&lt;&gt;Check Duration")+COUNTIFS($A$5:A159,A159,$E$5:E159,"&lt;&gt;Expired",$E$5:E159,"&lt;&gt;Check Duration"))))</x:f>
      </x:c>
      <x:c r="L159" s="18" t="str">
        <x:f>IF(A159="","",IFERROR(TEXTJOIN("; ",TRUE,FILTER('Benefit Resets'!$J$5:$J$204,'Benefit Resets'!$A$5:$A$204=A159,'Benefit Resets'!$L$5:$L$204="Yes")),""))</x:f>
      </x:c>
      <x:c r="M159" s="18" t="str">
        <x:f>IF(A159="","",IF(L159="",G159,G159&amp;" | "&amp;L159))</x:f>
      </x:c>
    </x:row>
    <x:row r="160">
      <x:c r="A160" s="18"/>
      <x:c r="B160" s="19"/>
      <x:c r="C160" s="18"/>
      <x:c r="D160" s="19" t="str">
        <x:f>IF(A160="","",IFERROR(B160+VLOOKUP(C160,Lists!$A$2:$B$101,2,FALSE),"Check duration"))</x:f>
      </x:c>
      <x:c r="E160" s="18" t="str">
        <x:f>IF(A160="","",IF(ISNUMBER(D160),IF(D160&lt;TODAY(),"Expired",IF(D160&lt;=TODAY()+7,"Expiring Soon","Active")),"Check Duration"))</x:f>
      </x:c>
      <x:c r="F160" s="18"/>
      <x:c r="G160" s="18"/>
      <x:c r="H160" s="18"/>
      <x:c r="I160" s="18"/>
      <x:c r="J160" s="18"/>
      <x:c r="K160" s="18" t="str">
        <x:f>IF(A160="","",IF(E160="Expired","",IF(E160="Check Duration","",COUNTIFS($A$5:$A$204,"&lt;"&amp;A160,$E$5:$E$204,"&lt;&gt;Expired",$E$5:$E$204,"&lt;&gt;Check Duration")+COUNTIFS($A$5:A160,A160,$E$5:E160,"&lt;&gt;Expired",$E$5:E160,"&lt;&gt;Check Duration"))))</x:f>
      </x:c>
      <x:c r="L160" s="18" t="str">
        <x:f>IF(A160="","",IFERROR(TEXTJOIN("; ",TRUE,FILTER('Benefit Resets'!$J$5:$J$204,'Benefit Resets'!$A$5:$A$204=A160,'Benefit Resets'!$L$5:$L$204="Yes")),""))</x:f>
      </x:c>
      <x:c r="M160" s="18" t="str">
        <x:f>IF(A160="","",IF(L160="",G160,G160&amp;" | "&amp;L160))</x:f>
      </x:c>
    </x:row>
    <x:row r="161">
      <x:c r="A161" s="18"/>
      <x:c r="B161" s="19"/>
      <x:c r="C161" s="18"/>
      <x:c r="D161" s="19" t="str">
        <x:f>IF(A161="","",IFERROR(B161+VLOOKUP(C161,Lists!$A$2:$B$101,2,FALSE),"Check duration"))</x:f>
      </x:c>
      <x:c r="E161" s="18" t="str">
        <x:f>IF(A161="","",IF(ISNUMBER(D161),IF(D161&lt;TODAY(),"Expired",IF(D161&lt;=TODAY()+7,"Expiring Soon","Active")),"Check Duration"))</x:f>
      </x:c>
      <x:c r="F161" s="18"/>
      <x:c r="G161" s="18"/>
      <x:c r="H161" s="18"/>
      <x:c r="I161" s="18"/>
      <x:c r="J161" s="18"/>
      <x:c r="K161" s="18" t="str">
        <x:f>IF(A161="","",IF(E161="Expired","",IF(E161="Check Duration","",COUNTIFS($A$5:$A$204,"&lt;"&amp;A161,$E$5:$E$204,"&lt;&gt;Expired",$E$5:$E$204,"&lt;&gt;Check Duration")+COUNTIFS($A$5:A161,A161,$E$5:E161,"&lt;&gt;Expired",$E$5:E161,"&lt;&gt;Check Duration"))))</x:f>
      </x:c>
      <x:c r="L161" s="18" t="str">
        <x:f>IF(A161="","",IFERROR(TEXTJOIN("; ",TRUE,FILTER('Benefit Resets'!$J$5:$J$204,'Benefit Resets'!$A$5:$A$204=A161,'Benefit Resets'!$L$5:$L$204="Yes")),""))</x:f>
      </x:c>
      <x:c r="M161" s="18" t="str">
        <x:f>IF(A161="","",IF(L161="",G161,G161&amp;" | "&amp;L161))</x:f>
      </x:c>
    </x:row>
    <x:row r="162">
      <x:c r="A162" s="18"/>
      <x:c r="B162" s="19"/>
      <x:c r="C162" s="18"/>
      <x:c r="D162" s="19" t="str">
        <x:f>IF(A162="","",IFERROR(B162+VLOOKUP(C162,Lists!$A$2:$B$101,2,FALSE),"Check duration"))</x:f>
      </x:c>
      <x:c r="E162" s="18" t="str">
        <x:f>IF(A162="","",IF(ISNUMBER(D162),IF(D162&lt;TODAY(),"Expired",IF(D162&lt;=TODAY()+7,"Expiring Soon","Active")),"Check Duration"))</x:f>
      </x:c>
      <x:c r="F162" s="18"/>
      <x:c r="G162" s="18"/>
      <x:c r="H162" s="18"/>
      <x:c r="I162" s="18"/>
      <x:c r="J162" s="18"/>
      <x:c r="K162" s="18" t="str">
        <x:f>IF(A162="","",IF(E162="Expired","",IF(E162="Check Duration","",COUNTIFS($A$5:$A$204,"&lt;"&amp;A162,$E$5:$E$204,"&lt;&gt;Expired",$E$5:$E$204,"&lt;&gt;Check Duration")+COUNTIFS($A$5:A162,A162,$E$5:E162,"&lt;&gt;Expired",$E$5:E162,"&lt;&gt;Check Duration"))))</x:f>
      </x:c>
      <x:c r="L162" s="18" t="str">
        <x:f>IF(A162="","",IFERROR(TEXTJOIN("; ",TRUE,FILTER('Benefit Resets'!$J$5:$J$204,'Benefit Resets'!$A$5:$A$204=A162,'Benefit Resets'!$L$5:$L$204="Yes")),""))</x:f>
      </x:c>
      <x:c r="M162" s="18" t="str">
        <x:f>IF(A162="","",IF(L162="",G162,G162&amp;" | "&amp;L162))</x:f>
      </x:c>
    </x:row>
    <x:row r="163">
      <x:c r="A163" s="18"/>
      <x:c r="B163" s="19"/>
      <x:c r="C163" s="18"/>
      <x:c r="D163" s="19" t="str">
        <x:f>IF(A163="","",IFERROR(B163+VLOOKUP(C163,Lists!$A$2:$B$101,2,FALSE),"Check duration"))</x:f>
      </x:c>
      <x:c r="E163" s="18" t="str">
        <x:f>IF(A163="","",IF(ISNUMBER(D163),IF(D163&lt;TODAY(),"Expired",IF(D163&lt;=TODAY()+7,"Expiring Soon","Active")),"Check Duration"))</x:f>
      </x:c>
      <x:c r="F163" s="18"/>
      <x:c r="G163" s="18"/>
      <x:c r="H163" s="18"/>
      <x:c r="I163" s="18"/>
      <x:c r="J163" s="18"/>
      <x:c r="K163" s="18" t="str">
        <x:f>IF(A163="","",IF(E163="Expired","",IF(E163="Check Duration","",COUNTIFS($A$5:$A$204,"&lt;"&amp;A163,$E$5:$E$204,"&lt;&gt;Expired",$E$5:$E$204,"&lt;&gt;Check Duration")+COUNTIFS($A$5:A163,A163,$E$5:E163,"&lt;&gt;Expired",$E$5:E163,"&lt;&gt;Check Duration"))))</x:f>
      </x:c>
      <x:c r="L163" s="18" t="str">
        <x:f>IF(A163="","",IFERROR(TEXTJOIN("; ",TRUE,FILTER('Benefit Resets'!$J$5:$J$204,'Benefit Resets'!$A$5:$A$204=A163,'Benefit Resets'!$L$5:$L$204="Yes")),""))</x:f>
      </x:c>
      <x:c r="M163" s="18" t="str">
        <x:f>IF(A163="","",IF(L163="",G163,G163&amp;" | "&amp;L163))</x:f>
      </x:c>
    </x:row>
    <x:row r="164">
      <x:c r="A164" s="18"/>
      <x:c r="B164" s="19"/>
      <x:c r="C164" s="18"/>
      <x:c r="D164" s="19" t="str">
        <x:f>IF(A164="","",IFERROR(B164+VLOOKUP(C164,Lists!$A$2:$B$101,2,FALSE),"Check duration"))</x:f>
      </x:c>
      <x:c r="E164" s="18" t="str">
        <x:f>IF(A164="","",IF(ISNUMBER(D164),IF(D164&lt;TODAY(),"Expired",IF(D164&lt;=TODAY()+7,"Expiring Soon","Active")),"Check Duration"))</x:f>
      </x:c>
      <x:c r="F164" s="18"/>
      <x:c r="G164" s="18"/>
      <x:c r="H164" s="18"/>
      <x:c r="I164" s="18"/>
      <x:c r="J164" s="18"/>
      <x:c r="K164" s="18" t="str">
        <x:f>IF(A164="","",IF(E164="Expired","",IF(E164="Check Duration","",COUNTIFS($A$5:$A$204,"&lt;"&amp;A164,$E$5:$E$204,"&lt;&gt;Expired",$E$5:$E$204,"&lt;&gt;Check Duration")+COUNTIFS($A$5:A164,A164,$E$5:E164,"&lt;&gt;Expired",$E$5:E164,"&lt;&gt;Check Duration"))))</x:f>
      </x:c>
      <x:c r="L164" s="18" t="str">
        <x:f>IF(A164="","",IFERROR(TEXTJOIN("; ",TRUE,FILTER('Benefit Resets'!$J$5:$J$204,'Benefit Resets'!$A$5:$A$204=A164,'Benefit Resets'!$L$5:$L$204="Yes")),""))</x:f>
      </x:c>
      <x:c r="M164" s="18" t="str">
        <x:f>IF(A164="","",IF(L164="",G164,G164&amp;" | "&amp;L164))</x:f>
      </x:c>
    </x:row>
    <x:row r="165">
      <x:c r="A165" s="18"/>
      <x:c r="B165" s="19"/>
      <x:c r="C165" s="18"/>
      <x:c r="D165" s="19" t="str">
        <x:f>IF(A165="","",IFERROR(B165+VLOOKUP(C165,Lists!$A$2:$B$101,2,FALSE),"Check duration"))</x:f>
      </x:c>
      <x:c r="E165" s="18" t="str">
        <x:f>IF(A165="","",IF(ISNUMBER(D165),IF(D165&lt;TODAY(),"Expired",IF(D165&lt;=TODAY()+7,"Expiring Soon","Active")),"Check Duration"))</x:f>
      </x:c>
      <x:c r="F165" s="18"/>
      <x:c r="G165" s="18"/>
      <x:c r="H165" s="18"/>
      <x:c r="I165" s="18"/>
      <x:c r="J165" s="18"/>
      <x:c r="K165" s="18" t="str">
        <x:f>IF(A165="","",IF(E165="Expired","",IF(E165="Check Duration","",COUNTIFS($A$5:$A$204,"&lt;"&amp;A165,$E$5:$E$204,"&lt;&gt;Expired",$E$5:$E$204,"&lt;&gt;Check Duration")+COUNTIFS($A$5:A165,A165,$E$5:E165,"&lt;&gt;Expired",$E$5:E165,"&lt;&gt;Check Duration"))))</x:f>
      </x:c>
      <x:c r="L165" s="18" t="str">
        <x:f>IF(A165="","",IFERROR(TEXTJOIN("; ",TRUE,FILTER('Benefit Resets'!$J$5:$J$204,'Benefit Resets'!$A$5:$A$204=A165,'Benefit Resets'!$L$5:$L$204="Yes")),""))</x:f>
      </x:c>
      <x:c r="M165" s="18" t="str">
        <x:f>IF(A165="","",IF(L165="",G165,G165&amp;" | "&amp;L165))</x:f>
      </x:c>
    </x:row>
    <x:row r="166">
      <x:c r="A166" s="18"/>
      <x:c r="B166" s="19"/>
      <x:c r="C166" s="18"/>
      <x:c r="D166" s="19" t="str">
        <x:f>IF(A166="","",IFERROR(B166+VLOOKUP(C166,Lists!$A$2:$B$101,2,FALSE),"Check duration"))</x:f>
      </x:c>
      <x:c r="E166" s="18" t="str">
        <x:f>IF(A166="","",IF(ISNUMBER(D166),IF(D166&lt;TODAY(),"Expired",IF(D166&lt;=TODAY()+7,"Expiring Soon","Active")),"Check Duration"))</x:f>
      </x:c>
      <x:c r="F166" s="18"/>
      <x:c r="G166" s="18"/>
      <x:c r="H166" s="18"/>
      <x:c r="I166" s="18"/>
      <x:c r="J166" s="18"/>
      <x:c r="K166" s="18" t="str">
        <x:f>IF(A166="","",IF(E166="Expired","",IF(E166="Check Duration","",COUNTIFS($A$5:$A$204,"&lt;"&amp;A166,$E$5:$E$204,"&lt;&gt;Expired",$E$5:$E$204,"&lt;&gt;Check Duration")+COUNTIFS($A$5:A166,A166,$E$5:E166,"&lt;&gt;Expired",$E$5:E166,"&lt;&gt;Check Duration"))))</x:f>
      </x:c>
      <x:c r="L166" s="18" t="str">
        <x:f>IF(A166="","",IFERROR(TEXTJOIN("; ",TRUE,FILTER('Benefit Resets'!$J$5:$J$204,'Benefit Resets'!$A$5:$A$204=A166,'Benefit Resets'!$L$5:$L$204="Yes")),""))</x:f>
      </x:c>
      <x:c r="M166" s="18" t="str">
        <x:f>IF(A166="","",IF(L166="",G166,G166&amp;" | "&amp;L166))</x:f>
      </x:c>
    </x:row>
    <x:row r="167">
      <x:c r="A167" s="18"/>
      <x:c r="B167" s="19"/>
      <x:c r="C167" s="18"/>
      <x:c r="D167" s="19" t="str">
        <x:f>IF(A167="","",IFERROR(B167+VLOOKUP(C167,Lists!$A$2:$B$101,2,FALSE),"Check duration"))</x:f>
      </x:c>
      <x:c r="E167" s="18" t="str">
        <x:f>IF(A167="","",IF(ISNUMBER(D167),IF(D167&lt;TODAY(),"Expired",IF(D167&lt;=TODAY()+7,"Expiring Soon","Active")),"Check Duration"))</x:f>
      </x:c>
      <x:c r="F167" s="18"/>
      <x:c r="G167" s="18"/>
      <x:c r="H167" s="18"/>
      <x:c r="I167" s="18"/>
      <x:c r="J167" s="18"/>
      <x:c r="K167" s="18" t="str">
        <x:f>IF(A167="","",IF(E167="Expired","",IF(E167="Check Duration","",COUNTIFS($A$5:$A$204,"&lt;"&amp;A167,$E$5:$E$204,"&lt;&gt;Expired",$E$5:$E$204,"&lt;&gt;Check Duration")+COUNTIFS($A$5:A167,A167,$E$5:E167,"&lt;&gt;Expired",$E$5:E167,"&lt;&gt;Check Duration"))))</x:f>
      </x:c>
      <x:c r="L167" s="18" t="str">
        <x:f>IF(A167="","",IFERROR(TEXTJOIN("; ",TRUE,FILTER('Benefit Resets'!$J$5:$J$204,'Benefit Resets'!$A$5:$A$204=A167,'Benefit Resets'!$L$5:$L$204="Yes")),""))</x:f>
      </x:c>
      <x:c r="M167" s="18" t="str">
        <x:f>IF(A167="","",IF(L167="",G167,G167&amp;" | "&amp;L167))</x:f>
      </x:c>
    </x:row>
    <x:row r="168">
      <x:c r="A168" s="18"/>
      <x:c r="B168" s="19"/>
      <x:c r="C168" s="18"/>
      <x:c r="D168" s="19" t="str">
        <x:f>IF(A168="","",IFERROR(B168+VLOOKUP(C168,Lists!$A$2:$B$101,2,FALSE),"Check duration"))</x:f>
      </x:c>
      <x:c r="E168" s="18" t="str">
        <x:f>IF(A168="","",IF(ISNUMBER(D168),IF(D168&lt;TODAY(),"Expired",IF(D168&lt;=TODAY()+7,"Expiring Soon","Active")),"Check Duration"))</x:f>
      </x:c>
      <x:c r="F168" s="18"/>
      <x:c r="G168" s="18"/>
      <x:c r="H168" s="18"/>
      <x:c r="I168" s="18"/>
      <x:c r="J168" s="18"/>
      <x:c r="K168" s="18" t="str">
        <x:f>IF(A168="","",IF(E168="Expired","",IF(E168="Check Duration","",COUNTIFS($A$5:$A$204,"&lt;"&amp;A168,$E$5:$E$204,"&lt;&gt;Expired",$E$5:$E$204,"&lt;&gt;Check Duration")+COUNTIFS($A$5:A168,A168,$E$5:E168,"&lt;&gt;Expired",$E$5:E168,"&lt;&gt;Check Duration"))))</x:f>
      </x:c>
      <x:c r="L168" s="18" t="str">
        <x:f>IF(A168="","",IFERROR(TEXTJOIN("; ",TRUE,FILTER('Benefit Resets'!$J$5:$J$204,'Benefit Resets'!$A$5:$A$204=A168,'Benefit Resets'!$L$5:$L$204="Yes")),""))</x:f>
      </x:c>
      <x:c r="M168" s="18" t="str">
        <x:f>IF(A168="","",IF(L168="",G168,G168&amp;" | "&amp;L168))</x:f>
      </x:c>
    </x:row>
    <x:row r="169">
      <x:c r="A169" s="18"/>
      <x:c r="B169" s="19"/>
      <x:c r="C169" s="18"/>
      <x:c r="D169" s="19" t="str">
        <x:f>IF(A169="","",IFERROR(B169+VLOOKUP(C169,Lists!$A$2:$B$101,2,FALSE),"Check duration"))</x:f>
      </x:c>
      <x:c r="E169" s="18" t="str">
        <x:f>IF(A169="","",IF(ISNUMBER(D169),IF(D169&lt;TODAY(),"Expired",IF(D169&lt;=TODAY()+7,"Expiring Soon","Active")),"Check Duration"))</x:f>
      </x:c>
      <x:c r="F169" s="18"/>
      <x:c r="G169" s="18"/>
      <x:c r="H169" s="18"/>
      <x:c r="I169" s="18"/>
      <x:c r="J169" s="18"/>
      <x:c r="K169" s="18" t="str">
        <x:f>IF(A169="","",IF(E169="Expired","",IF(E169="Check Duration","",COUNTIFS($A$5:$A$204,"&lt;"&amp;A169,$E$5:$E$204,"&lt;&gt;Expired",$E$5:$E$204,"&lt;&gt;Check Duration")+COUNTIFS($A$5:A169,A169,$E$5:E169,"&lt;&gt;Expired",$E$5:E169,"&lt;&gt;Check Duration"))))</x:f>
      </x:c>
      <x:c r="L169" s="18" t="str">
        <x:f>IF(A169="","",IFERROR(TEXTJOIN("; ",TRUE,FILTER('Benefit Resets'!$J$5:$J$204,'Benefit Resets'!$A$5:$A$204=A169,'Benefit Resets'!$L$5:$L$204="Yes")),""))</x:f>
      </x:c>
      <x:c r="M169" s="18" t="str">
        <x:f>IF(A169="","",IF(L169="",G169,G169&amp;" | "&amp;L169))</x:f>
      </x:c>
    </x:row>
    <x:row r="170">
      <x:c r="A170" s="18"/>
      <x:c r="B170" s="19"/>
      <x:c r="C170" s="18"/>
      <x:c r="D170" s="19" t="str">
        <x:f>IF(A170="","",IFERROR(B170+VLOOKUP(C170,Lists!$A$2:$B$101,2,FALSE),"Check duration"))</x:f>
      </x:c>
      <x:c r="E170" s="18" t="str">
        <x:f>IF(A170="","",IF(ISNUMBER(D170),IF(D170&lt;TODAY(),"Expired",IF(D170&lt;=TODAY()+7,"Expiring Soon","Active")),"Check Duration"))</x:f>
      </x:c>
      <x:c r="F170" s="18"/>
      <x:c r="G170" s="18"/>
      <x:c r="H170" s="18"/>
      <x:c r="I170" s="18"/>
      <x:c r="J170" s="18"/>
      <x:c r="K170" s="18" t="str">
        <x:f>IF(A170="","",IF(E170="Expired","",IF(E170="Check Duration","",COUNTIFS($A$5:$A$204,"&lt;"&amp;A170,$E$5:$E$204,"&lt;&gt;Expired",$E$5:$E$204,"&lt;&gt;Check Duration")+COUNTIFS($A$5:A170,A170,$E$5:E170,"&lt;&gt;Expired",$E$5:E170,"&lt;&gt;Check Duration"))))</x:f>
      </x:c>
      <x:c r="L170" s="18" t="str">
        <x:f>IF(A170="","",IFERROR(TEXTJOIN("; ",TRUE,FILTER('Benefit Resets'!$J$5:$J$204,'Benefit Resets'!$A$5:$A$204=A170,'Benefit Resets'!$L$5:$L$204="Yes")),""))</x:f>
      </x:c>
      <x:c r="M170" s="18" t="str">
        <x:f>IF(A170="","",IF(L170="",G170,G170&amp;" | "&amp;L170))</x:f>
      </x:c>
    </x:row>
    <x:row r="171">
      <x:c r="A171" s="18"/>
      <x:c r="B171" s="19"/>
      <x:c r="C171" s="18"/>
      <x:c r="D171" s="19" t="str">
        <x:f>IF(A171="","",IFERROR(B171+VLOOKUP(C171,Lists!$A$2:$B$101,2,FALSE),"Check duration"))</x:f>
      </x:c>
      <x:c r="E171" s="18" t="str">
        <x:f>IF(A171="","",IF(ISNUMBER(D171),IF(D171&lt;TODAY(),"Expired",IF(D171&lt;=TODAY()+7,"Expiring Soon","Active")),"Check Duration"))</x:f>
      </x:c>
      <x:c r="F171" s="18"/>
      <x:c r="G171" s="18"/>
      <x:c r="H171" s="18"/>
      <x:c r="I171" s="18"/>
      <x:c r="J171" s="18"/>
      <x:c r="K171" s="18" t="str">
        <x:f>IF(A171="","",IF(E171="Expired","",IF(E171="Check Duration","",COUNTIFS($A$5:$A$204,"&lt;"&amp;A171,$E$5:$E$204,"&lt;&gt;Expired",$E$5:$E$204,"&lt;&gt;Check Duration")+COUNTIFS($A$5:A171,A171,$E$5:E171,"&lt;&gt;Expired",$E$5:E171,"&lt;&gt;Check Duration"))))</x:f>
      </x:c>
      <x:c r="L171" s="18" t="str">
        <x:f>IF(A171="","",IFERROR(TEXTJOIN("; ",TRUE,FILTER('Benefit Resets'!$J$5:$J$204,'Benefit Resets'!$A$5:$A$204=A171,'Benefit Resets'!$L$5:$L$204="Yes")),""))</x:f>
      </x:c>
      <x:c r="M171" s="18" t="str">
        <x:f>IF(A171="","",IF(L171="",G171,G171&amp;" | "&amp;L171))</x:f>
      </x:c>
    </x:row>
    <x:row r="172">
      <x:c r="A172" s="18"/>
      <x:c r="B172" s="19"/>
      <x:c r="C172" s="18"/>
      <x:c r="D172" s="19" t="str">
        <x:f>IF(A172="","",IFERROR(B172+VLOOKUP(C172,Lists!$A$2:$B$101,2,FALSE),"Check duration"))</x:f>
      </x:c>
      <x:c r="E172" s="18" t="str">
        <x:f>IF(A172="","",IF(ISNUMBER(D172),IF(D172&lt;TODAY(),"Expired",IF(D172&lt;=TODAY()+7,"Expiring Soon","Active")),"Check Duration"))</x:f>
      </x:c>
      <x:c r="F172" s="18"/>
      <x:c r="G172" s="18"/>
      <x:c r="H172" s="18"/>
      <x:c r="I172" s="18"/>
      <x:c r="J172" s="18"/>
      <x:c r="K172" s="18" t="str">
        <x:f>IF(A172="","",IF(E172="Expired","",IF(E172="Check Duration","",COUNTIFS($A$5:$A$204,"&lt;"&amp;A172,$E$5:$E$204,"&lt;&gt;Expired",$E$5:$E$204,"&lt;&gt;Check Duration")+COUNTIFS($A$5:A172,A172,$E$5:E172,"&lt;&gt;Expired",$E$5:E172,"&lt;&gt;Check Duration"))))</x:f>
      </x:c>
      <x:c r="L172" s="18" t="str">
        <x:f>IF(A172="","",IFERROR(TEXTJOIN("; ",TRUE,FILTER('Benefit Resets'!$J$5:$J$204,'Benefit Resets'!$A$5:$A$204=A172,'Benefit Resets'!$L$5:$L$204="Yes")),""))</x:f>
      </x:c>
      <x:c r="M172" s="18" t="str">
        <x:f>IF(A172="","",IF(L172="",G172,G172&amp;" | "&amp;L172))</x:f>
      </x:c>
    </x:row>
    <x:row r="173">
      <x:c r="A173" s="18"/>
      <x:c r="B173" s="19"/>
      <x:c r="C173" s="18"/>
      <x:c r="D173" s="19" t="str">
        <x:f>IF(A173="","",IFERROR(B173+VLOOKUP(C173,Lists!$A$2:$B$101,2,FALSE),"Check duration"))</x:f>
      </x:c>
      <x:c r="E173" s="18" t="str">
        <x:f>IF(A173="","",IF(ISNUMBER(D173),IF(D173&lt;TODAY(),"Expired",IF(D173&lt;=TODAY()+7,"Expiring Soon","Active")),"Check Duration"))</x:f>
      </x:c>
      <x:c r="F173" s="18"/>
      <x:c r="G173" s="18"/>
      <x:c r="H173" s="18"/>
      <x:c r="I173" s="18"/>
      <x:c r="J173" s="18"/>
      <x:c r="K173" s="18" t="str">
        <x:f>IF(A173="","",IF(E173="Expired","",IF(E173="Check Duration","",COUNTIFS($A$5:$A$204,"&lt;"&amp;A173,$E$5:$E$204,"&lt;&gt;Expired",$E$5:$E$204,"&lt;&gt;Check Duration")+COUNTIFS($A$5:A173,A173,$E$5:E173,"&lt;&gt;Expired",$E$5:E173,"&lt;&gt;Check Duration"))))</x:f>
      </x:c>
      <x:c r="L173" s="18" t="str">
        <x:f>IF(A173="","",IFERROR(TEXTJOIN("; ",TRUE,FILTER('Benefit Resets'!$J$5:$J$204,'Benefit Resets'!$A$5:$A$204=A173,'Benefit Resets'!$L$5:$L$204="Yes")),""))</x:f>
      </x:c>
      <x:c r="M173" s="18" t="str">
        <x:f>IF(A173="","",IF(L173="",G173,G173&amp;" | "&amp;L173))</x:f>
      </x:c>
    </x:row>
    <x:row r="174">
      <x:c r="A174" s="18"/>
      <x:c r="B174" s="19"/>
      <x:c r="C174" s="18"/>
      <x:c r="D174" s="19" t="str">
        <x:f>IF(A174="","",IFERROR(B174+VLOOKUP(C174,Lists!$A$2:$B$101,2,FALSE),"Check duration"))</x:f>
      </x:c>
      <x:c r="E174" s="18" t="str">
        <x:f>IF(A174="","",IF(ISNUMBER(D174),IF(D174&lt;TODAY(),"Expired",IF(D174&lt;=TODAY()+7,"Expiring Soon","Active")),"Check Duration"))</x:f>
      </x:c>
      <x:c r="F174" s="18"/>
      <x:c r="G174" s="18"/>
      <x:c r="H174" s="18"/>
      <x:c r="I174" s="18"/>
      <x:c r="J174" s="18"/>
      <x:c r="K174" s="18" t="str">
        <x:f>IF(A174="","",IF(E174="Expired","",IF(E174="Check Duration","",COUNTIFS($A$5:$A$204,"&lt;"&amp;A174,$E$5:$E$204,"&lt;&gt;Expired",$E$5:$E$204,"&lt;&gt;Check Duration")+COUNTIFS($A$5:A174,A174,$E$5:E174,"&lt;&gt;Expired",$E$5:E174,"&lt;&gt;Check Duration"))))</x:f>
      </x:c>
      <x:c r="L174" s="18" t="str">
        <x:f>IF(A174="","",IFERROR(TEXTJOIN("; ",TRUE,FILTER('Benefit Resets'!$J$5:$J$204,'Benefit Resets'!$A$5:$A$204=A174,'Benefit Resets'!$L$5:$L$204="Yes")),""))</x:f>
      </x:c>
      <x:c r="M174" s="18" t="str">
        <x:f>IF(A174="","",IF(L174="",G174,G174&amp;" | "&amp;L174))</x:f>
      </x:c>
    </x:row>
    <x:row r="175">
      <x:c r="A175" s="18"/>
      <x:c r="B175" s="19"/>
      <x:c r="C175" s="18"/>
      <x:c r="D175" s="19" t="str">
        <x:f>IF(A175="","",IFERROR(B175+VLOOKUP(C175,Lists!$A$2:$B$101,2,FALSE),"Check duration"))</x:f>
      </x:c>
      <x:c r="E175" s="18" t="str">
        <x:f>IF(A175="","",IF(ISNUMBER(D175),IF(D175&lt;TODAY(),"Expired",IF(D175&lt;=TODAY()+7,"Expiring Soon","Active")),"Check Duration"))</x:f>
      </x:c>
      <x:c r="F175" s="18"/>
      <x:c r="G175" s="18"/>
      <x:c r="H175" s="18"/>
      <x:c r="I175" s="18"/>
      <x:c r="J175" s="18"/>
      <x:c r="K175" s="18" t="str">
        <x:f>IF(A175="","",IF(E175="Expired","",IF(E175="Check Duration","",COUNTIFS($A$5:$A$204,"&lt;"&amp;A175,$E$5:$E$204,"&lt;&gt;Expired",$E$5:$E$204,"&lt;&gt;Check Duration")+COUNTIFS($A$5:A175,A175,$E$5:E175,"&lt;&gt;Expired",$E$5:E175,"&lt;&gt;Check Duration"))))</x:f>
      </x:c>
      <x:c r="L175" s="18" t="str">
        <x:f>IF(A175="","",IFERROR(TEXTJOIN("; ",TRUE,FILTER('Benefit Resets'!$J$5:$J$204,'Benefit Resets'!$A$5:$A$204=A175,'Benefit Resets'!$L$5:$L$204="Yes")),""))</x:f>
      </x:c>
      <x:c r="M175" s="18" t="str">
        <x:f>IF(A175="","",IF(L175="",G175,G175&amp;" | "&amp;L175))</x:f>
      </x:c>
    </x:row>
    <x:row r="176">
      <x:c r="A176" s="18"/>
      <x:c r="B176" s="19"/>
      <x:c r="C176" s="18"/>
      <x:c r="D176" s="19" t="str">
        <x:f>IF(A176="","",IFERROR(B176+VLOOKUP(C176,Lists!$A$2:$B$101,2,FALSE),"Check duration"))</x:f>
      </x:c>
      <x:c r="E176" s="18" t="str">
        <x:f>IF(A176="","",IF(ISNUMBER(D176),IF(D176&lt;TODAY(),"Expired",IF(D176&lt;=TODAY()+7,"Expiring Soon","Active")),"Check Duration"))</x:f>
      </x:c>
      <x:c r="F176" s="18"/>
      <x:c r="G176" s="18"/>
      <x:c r="H176" s="18"/>
      <x:c r="I176" s="18"/>
      <x:c r="J176" s="18"/>
      <x:c r="K176" s="18" t="str">
        <x:f>IF(A176="","",IF(E176="Expired","",IF(E176="Check Duration","",COUNTIFS($A$5:$A$204,"&lt;"&amp;A176,$E$5:$E$204,"&lt;&gt;Expired",$E$5:$E$204,"&lt;&gt;Check Duration")+COUNTIFS($A$5:A176,A176,$E$5:E176,"&lt;&gt;Expired",$E$5:E176,"&lt;&gt;Check Duration"))))</x:f>
      </x:c>
      <x:c r="L176" s="18" t="str">
        <x:f>IF(A176="","",IFERROR(TEXTJOIN("; ",TRUE,FILTER('Benefit Resets'!$J$5:$J$204,'Benefit Resets'!$A$5:$A$204=A176,'Benefit Resets'!$L$5:$L$204="Yes")),""))</x:f>
      </x:c>
      <x:c r="M176" s="18" t="str">
        <x:f>IF(A176="","",IF(L176="",G176,G176&amp;" | "&amp;L176))</x:f>
      </x:c>
    </x:row>
    <x:row r="177">
      <x:c r="A177" s="18"/>
      <x:c r="B177" s="19"/>
      <x:c r="C177" s="18"/>
      <x:c r="D177" s="19" t="str">
        <x:f>IF(A177="","",IFERROR(B177+VLOOKUP(C177,Lists!$A$2:$B$101,2,FALSE),"Check duration"))</x:f>
      </x:c>
      <x:c r="E177" s="18" t="str">
        <x:f>IF(A177="","",IF(ISNUMBER(D177),IF(D177&lt;TODAY(),"Expired",IF(D177&lt;=TODAY()+7,"Expiring Soon","Active")),"Check Duration"))</x:f>
      </x:c>
      <x:c r="F177" s="18"/>
      <x:c r="G177" s="18"/>
      <x:c r="H177" s="18"/>
      <x:c r="I177" s="18"/>
      <x:c r="J177" s="18"/>
      <x:c r="K177" s="18" t="str">
        <x:f>IF(A177="","",IF(E177="Expired","",IF(E177="Check Duration","",COUNTIFS($A$5:$A$204,"&lt;"&amp;A177,$E$5:$E$204,"&lt;&gt;Expired",$E$5:$E$204,"&lt;&gt;Check Duration")+COUNTIFS($A$5:A177,A177,$E$5:E177,"&lt;&gt;Expired",$E$5:E177,"&lt;&gt;Check Duration"))))</x:f>
      </x:c>
      <x:c r="L177" s="18" t="str">
        <x:f>IF(A177="","",IFERROR(TEXTJOIN("; ",TRUE,FILTER('Benefit Resets'!$J$5:$J$204,'Benefit Resets'!$A$5:$A$204=A177,'Benefit Resets'!$L$5:$L$204="Yes")),""))</x:f>
      </x:c>
      <x:c r="M177" s="18" t="str">
        <x:f>IF(A177="","",IF(L177="",G177,G177&amp;" | "&amp;L177))</x:f>
      </x:c>
    </x:row>
    <x:row r="178">
      <x:c r="A178" s="18"/>
      <x:c r="B178" s="19"/>
      <x:c r="C178" s="18"/>
      <x:c r="D178" s="19" t="str">
        <x:f>IF(A178="","",IFERROR(B178+VLOOKUP(C178,Lists!$A$2:$B$101,2,FALSE),"Check duration"))</x:f>
      </x:c>
      <x:c r="E178" s="18" t="str">
        <x:f>IF(A178="","",IF(ISNUMBER(D178),IF(D178&lt;TODAY(),"Expired",IF(D178&lt;=TODAY()+7,"Expiring Soon","Active")),"Check Duration"))</x:f>
      </x:c>
      <x:c r="F178" s="18"/>
      <x:c r="G178" s="18"/>
      <x:c r="H178" s="18"/>
      <x:c r="I178" s="18"/>
      <x:c r="J178" s="18"/>
      <x:c r="K178" s="18" t="str">
        <x:f>IF(A178="","",IF(E178="Expired","",IF(E178="Check Duration","",COUNTIFS($A$5:$A$204,"&lt;"&amp;A178,$E$5:$E$204,"&lt;&gt;Expired",$E$5:$E$204,"&lt;&gt;Check Duration")+COUNTIFS($A$5:A178,A178,$E$5:E178,"&lt;&gt;Expired",$E$5:E178,"&lt;&gt;Check Duration"))))</x:f>
      </x:c>
      <x:c r="L178" s="18" t="str">
        <x:f>IF(A178="","",IFERROR(TEXTJOIN("; ",TRUE,FILTER('Benefit Resets'!$J$5:$J$204,'Benefit Resets'!$A$5:$A$204=A178,'Benefit Resets'!$L$5:$L$204="Yes")),""))</x:f>
      </x:c>
      <x:c r="M178" s="18" t="str">
        <x:f>IF(A178="","",IF(L178="",G178,G178&amp;" | "&amp;L178))</x:f>
      </x:c>
    </x:row>
    <x:row r="179">
      <x:c r="A179" s="18"/>
      <x:c r="B179" s="19"/>
      <x:c r="C179" s="18"/>
      <x:c r="D179" s="19" t="str">
        <x:f>IF(A179="","",IFERROR(B179+VLOOKUP(C179,Lists!$A$2:$B$101,2,FALSE),"Check duration"))</x:f>
      </x:c>
      <x:c r="E179" s="18" t="str">
        <x:f>IF(A179="","",IF(ISNUMBER(D179),IF(D179&lt;TODAY(),"Expired",IF(D179&lt;=TODAY()+7,"Expiring Soon","Active")),"Check Duration"))</x:f>
      </x:c>
      <x:c r="F179" s="18"/>
      <x:c r="G179" s="18"/>
      <x:c r="H179" s="18"/>
      <x:c r="I179" s="18"/>
      <x:c r="J179" s="18"/>
      <x:c r="K179" s="18" t="str">
        <x:f>IF(A179="","",IF(E179="Expired","",IF(E179="Check Duration","",COUNTIFS($A$5:$A$204,"&lt;"&amp;A179,$E$5:$E$204,"&lt;&gt;Expired",$E$5:$E$204,"&lt;&gt;Check Duration")+COUNTIFS($A$5:A179,A179,$E$5:E179,"&lt;&gt;Expired",$E$5:E179,"&lt;&gt;Check Duration"))))</x:f>
      </x:c>
      <x:c r="L179" s="18" t="str">
        <x:f>IF(A179="","",IFERROR(TEXTJOIN("; ",TRUE,FILTER('Benefit Resets'!$J$5:$J$204,'Benefit Resets'!$A$5:$A$204=A179,'Benefit Resets'!$L$5:$L$204="Yes")),""))</x:f>
      </x:c>
      <x:c r="M179" s="18" t="str">
        <x:f>IF(A179="","",IF(L179="",G179,G179&amp;" | "&amp;L179))</x:f>
      </x:c>
    </x:row>
    <x:row r="180">
      <x:c r="A180" s="18"/>
      <x:c r="B180" s="19"/>
      <x:c r="C180" s="18"/>
      <x:c r="D180" s="19" t="str">
        <x:f>IF(A180="","",IFERROR(B180+VLOOKUP(C180,Lists!$A$2:$B$101,2,FALSE),"Check duration"))</x:f>
      </x:c>
      <x:c r="E180" s="18" t="str">
        <x:f>IF(A180="","",IF(ISNUMBER(D180),IF(D180&lt;TODAY(),"Expired",IF(D180&lt;=TODAY()+7,"Expiring Soon","Active")),"Check Duration"))</x:f>
      </x:c>
      <x:c r="F180" s="18"/>
      <x:c r="G180" s="18"/>
      <x:c r="H180" s="18"/>
      <x:c r="I180" s="18"/>
      <x:c r="J180" s="18"/>
      <x:c r="K180" s="18" t="str">
        <x:f>IF(A180="","",IF(E180="Expired","",IF(E180="Check Duration","",COUNTIFS($A$5:$A$204,"&lt;"&amp;A180,$E$5:$E$204,"&lt;&gt;Expired",$E$5:$E$204,"&lt;&gt;Check Duration")+COUNTIFS($A$5:A180,A180,$E$5:E180,"&lt;&gt;Expired",$E$5:E180,"&lt;&gt;Check Duration"))))</x:f>
      </x:c>
      <x:c r="L180" s="18" t="str">
        <x:f>IF(A180="","",IFERROR(TEXTJOIN("; ",TRUE,FILTER('Benefit Resets'!$J$5:$J$204,'Benefit Resets'!$A$5:$A$204=A180,'Benefit Resets'!$L$5:$L$204="Yes")),""))</x:f>
      </x:c>
      <x:c r="M180" s="18" t="str">
        <x:f>IF(A180="","",IF(L180="",G180,G180&amp;" | "&amp;L180))</x:f>
      </x:c>
    </x:row>
    <x:row r="181">
      <x:c r="A181" s="18"/>
      <x:c r="B181" s="19"/>
      <x:c r="C181" s="18"/>
      <x:c r="D181" s="19" t="str">
        <x:f>IF(A181="","",IFERROR(B181+VLOOKUP(C181,Lists!$A$2:$B$101,2,FALSE),"Check duration"))</x:f>
      </x:c>
      <x:c r="E181" s="18" t="str">
        <x:f>IF(A181="","",IF(ISNUMBER(D181),IF(D181&lt;TODAY(),"Expired",IF(D181&lt;=TODAY()+7,"Expiring Soon","Active")),"Check Duration"))</x:f>
      </x:c>
      <x:c r="F181" s="18"/>
      <x:c r="G181" s="18"/>
      <x:c r="H181" s="18"/>
      <x:c r="I181" s="18"/>
      <x:c r="J181" s="18"/>
      <x:c r="K181" s="18" t="str">
        <x:f>IF(A181="","",IF(E181="Expired","",IF(E181="Check Duration","",COUNTIFS($A$5:$A$204,"&lt;"&amp;A181,$E$5:$E$204,"&lt;&gt;Expired",$E$5:$E$204,"&lt;&gt;Check Duration")+COUNTIFS($A$5:A181,A181,$E$5:E181,"&lt;&gt;Expired",$E$5:E181,"&lt;&gt;Check Duration"))))</x:f>
      </x:c>
      <x:c r="L181" s="18" t="str">
        <x:f>IF(A181="","",IFERROR(TEXTJOIN("; ",TRUE,FILTER('Benefit Resets'!$J$5:$J$204,'Benefit Resets'!$A$5:$A$204=A181,'Benefit Resets'!$L$5:$L$204="Yes")),""))</x:f>
      </x:c>
      <x:c r="M181" s="18" t="str">
        <x:f>IF(A181="","",IF(L181="",G181,G181&amp;" | "&amp;L181))</x:f>
      </x:c>
    </x:row>
    <x:row r="182">
      <x:c r="A182" s="18"/>
      <x:c r="B182" s="19"/>
      <x:c r="C182" s="18"/>
      <x:c r="D182" s="19" t="str">
        <x:f>IF(A182="","",IFERROR(B182+VLOOKUP(C182,Lists!$A$2:$B$101,2,FALSE),"Check duration"))</x:f>
      </x:c>
      <x:c r="E182" s="18" t="str">
        <x:f>IF(A182="","",IF(ISNUMBER(D182),IF(D182&lt;TODAY(),"Expired",IF(D182&lt;=TODAY()+7,"Expiring Soon","Active")),"Check Duration"))</x:f>
      </x:c>
      <x:c r="F182" s="18"/>
      <x:c r="G182" s="18"/>
      <x:c r="H182" s="18"/>
      <x:c r="I182" s="18"/>
      <x:c r="J182" s="18"/>
      <x:c r="K182" s="18" t="str">
        <x:f>IF(A182="","",IF(E182="Expired","",IF(E182="Check Duration","",COUNTIFS($A$5:$A$204,"&lt;"&amp;A182,$E$5:$E$204,"&lt;&gt;Expired",$E$5:$E$204,"&lt;&gt;Check Duration")+COUNTIFS($A$5:A182,A182,$E$5:E182,"&lt;&gt;Expired",$E$5:E182,"&lt;&gt;Check Duration"))))</x:f>
      </x:c>
      <x:c r="L182" s="18" t="str">
        <x:f>IF(A182="","",IFERROR(TEXTJOIN("; ",TRUE,FILTER('Benefit Resets'!$J$5:$J$204,'Benefit Resets'!$A$5:$A$204=A182,'Benefit Resets'!$L$5:$L$204="Yes")),""))</x:f>
      </x:c>
      <x:c r="M182" s="18" t="str">
        <x:f>IF(A182="","",IF(L182="",G182,G182&amp;" | "&amp;L182))</x:f>
      </x:c>
    </x:row>
    <x:row r="183">
      <x:c r="A183" s="18"/>
      <x:c r="B183" s="19"/>
      <x:c r="C183" s="18"/>
      <x:c r="D183" s="19" t="str">
        <x:f>IF(A183="","",IFERROR(B183+VLOOKUP(C183,Lists!$A$2:$B$101,2,FALSE),"Check duration"))</x:f>
      </x:c>
      <x:c r="E183" s="18" t="str">
        <x:f>IF(A183="","",IF(ISNUMBER(D183),IF(D183&lt;TODAY(),"Expired",IF(D183&lt;=TODAY()+7,"Expiring Soon","Active")),"Check Duration"))</x:f>
      </x:c>
      <x:c r="F183" s="18"/>
      <x:c r="G183" s="18"/>
      <x:c r="H183" s="18"/>
      <x:c r="I183" s="18"/>
      <x:c r="J183" s="18"/>
      <x:c r="K183" s="18" t="str">
        <x:f>IF(A183="","",IF(E183="Expired","",IF(E183="Check Duration","",COUNTIFS($A$5:$A$204,"&lt;"&amp;A183,$E$5:$E$204,"&lt;&gt;Expired",$E$5:$E$204,"&lt;&gt;Check Duration")+COUNTIFS($A$5:A183,A183,$E$5:E183,"&lt;&gt;Expired",$E$5:E183,"&lt;&gt;Check Duration"))))</x:f>
      </x:c>
      <x:c r="L183" s="18" t="str">
        <x:f>IF(A183="","",IFERROR(TEXTJOIN("; ",TRUE,FILTER('Benefit Resets'!$J$5:$J$204,'Benefit Resets'!$A$5:$A$204=A183,'Benefit Resets'!$L$5:$L$204="Yes")),""))</x:f>
      </x:c>
      <x:c r="M183" s="18" t="str">
        <x:f>IF(A183="","",IF(L183="",G183,G183&amp;" | "&amp;L183))</x:f>
      </x:c>
    </x:row>
    <x:row r="184">
      <x:c r="A184" s="18"/>
      <x:c r="B184" s="19"/>
      <x:c r="C184" s="18"/>
      <x:c r="D184" s="19" t="str">
        <x:f>IF(A184="","",IFERROR(B184+VLOOKUP(C184,Lists!$A$2:$B$101,2,FALSE),"Check duration"))</x:f>
      </x:c>
      <x:c r="E184" s="18" t="str">
        <x:f>IF(A184="","",IF(ISNUMBER(D184),IF(D184&lt;TODAY(),"Expired",IF(D184&lt;=TODAY()+7,"Expiring Soon","Active")),"Check Duration"))</x:f>
      </x:c>
      <x:c r="F184" s="18"/>
      <x:c r="G184" s="18"/>
      <x:c r="H184" s="18"/>
      <x:c r="I184" s="18"/>
      <x:c r="J184" s="18"/>
      <x:c r="K184" s="18" t="str">
        <x:f>IF(A184="","",IF(E184="Expired","",IF(E184="Check Duration","",COUNTIFS($A$5:$A$204,"&lt;"&amp;A184,$E$5:$E$204,"&lt;&gt;Expired",$E$5:$E$204,"&lt;&gt;Check Duration")+COUNTIFS($A$5:A184,A184,$E$5:E184,"&lt;&gt;Expired",$E$5:E184,"&lt;&gt;Check Duration"))))</x:f>
      </x:c>
      <x:c r="L184" s="18" t="str">
        <x:f>IF(A184="","",IFERROR(TEXTJOIN("; ",TRUE,FILTER('Benefit Resets'!$J$5:$J$204,'Benefit Resets'!$A$5:$A$204=A184,'Benefit Resets'!$L$5:$L$204="Yes")),""))</x:f>
      </x:c>
      <x:c r="M184" s="18" t="str">
        <x:f>IF(A184="","",IF(L184="",G184,G184&amp;" | "&amp;L184))</x:f>
      </x:c>
    </x:row>
    <x:row r="185">
      <x:c r="A185" s="18"/>
      <x:c r="B185" s="19"/>
      <x:c r="C185" s="18"/>
      <x:c r="D185" s="19" t="str">
        <x:f>IF(A185="","",IFERROR(B185+VLOOKUP(C185,Lists!$A$2:$B$101,2,FALSE),"Check duration"))</x:f>
      </x:c>
      <x:c r="E185" s="18" t="str">
        <x:f>IF(A185="","",IF(ISNUMBER(D185),IF(D185&lt;TODAY(),"Expired",IF(D185&lt;=TODAY()+7,"Expiring Soon","Active")),"Check Duration"))</x:f>
      </x:c>
      <x:c r="F185" s="18"/>
      <x:c r="G185" s="18"/>
      <x:c r="H185" s="18"/>
      <x:c r="I185" s="18"/>
      <x:c r="J185" s="18"/>
      <x:c r="K185" s="18" t="str">
        <x:f>IF(A185="","",IF(E185="Expired","",IF(E185="Check Duration","",COUNTIFS($A$5:$A$204,"&lt;"&amp;A185,$E$5:$E$204,"&lt;&gt;Expired",$E$5:$E$204,"&lt;&gt;Check Duration")+COUNTIFS($A$5:A185,A185,$E$5:E185,"&lt;&gt;Expired",$E$5:E185,"&lt;&gt;Check Duration"))))</x:f>
      </x:c>
      <x:c r="L185" s="18" t="str">
        <x:f>IF(A185="","",IFERROR(TEXTJOIN("; ",TRUE,FILTER('Benefit Resets'!$J$5:$J$204,'Benefit Resets'!$A$5:$A$204=A185,'Benefit Resets'!$L$5:$L$204="Yes")),""))</x:f>
      </x:c>
      <x:c r="M185" s="18" t="str">
        <x:f>IF(A185="","",IF(L185="",G185,G185&amp;" | "&amp;L185))</x:f>
      </x:c>
    </x:row>
    <x:row r="186">
      <x:c r="A186" s="18"/>
      <x:c r="B186" s="19"/>
      <x:c r="C186" s="18"/>
      <x:c r="D186" s="19" t="str">
        <x:f>IF(A186="","",IFERROR(B186+VLOOKUP(C186,Lists!$A$2:$B$101,2,FALSE),"Check duration"))</x:f>
      </x:c>
      <x:c r="E186" s="18" t="str">
        <x:f>IF(A186="","",IF(ISNUMBER(D186),IF(D186&lt;TODAY(),"Expired",IF(D186&lt;=TODAY()+7,"Expiring Soon","Active")),"Check Duration"))</x:f>
      </x:c>
      <x:c r="F186" s="18"/>
      <x:c r="G186" s="18"/>
      <x:c r="H186" s="18"/>
      <x:c r="I186" s="18"/>
      <x:c r="J186" s="18"/>
      <x:c r="K186" s="18" t="str">
        <x:f>IF(A186="","",IF(E186="Expired","",IF(E186="Check Duration","",COUNTIFS($A$5:$A$204,"&lt;"&amp;A186,$E$5:$E$204,"&lt;&gt;Expired",$E$5:$E$204,"&lt;&gt;Check Duration")+COUNTIFS($A$5:A186,A186,$E$5:E186,"&lt;&gt;Expired",$E$5:E186,"&lt;&gt;Check Duration"))))</x:f>
      </x:c>
      <x:c r="L186" s="18" t="str">
        <x:f>IF(A186="","",IFERROR(TEXTJOIN("; ",TRUE,FILTER('Benefit Resets'!$J$5:$J$204,'Benefit Resets'!$A$5:$A$204=A186,'Benefit Resets'!$L$5:$L$204="Yes")),""))</x:f>
      </x:c>
      <x:c r="M186" s="18" t="str">
        <x:f>IF(A186="","",IF(L186="",G186,G186&amp;" | "&amp;L186))</x:f>
      </x:c>
    </x:row>
    <x:row r="187">
      <x:c r="A187" s="18"/>
      <x:c r="B187" s="19"/>
      <x:c r="C187" s="18"/>
      <x:c r="D187" s="19" t="str">
        <x:f>IF(A187="","",IFERROR(B187+VLOOKUP(C187,Lists!$A$2:$B$101,2,FALSE),"Check duration"))</x:f>
      </x:c>
      <x:c r="E187" s="18" t="str">
        <x:f>IF(A187="","",IF(ISNUMBER(D187),IF(D187&lt;TODAY(),"Expired",IF(D187&lt;=TODAY()+7,"Expiring Soon","Active")),"Check Duration"))</x:f>
      </x:c>
      <x:c r="F187" s="18"/>
      <x:c r="G187" s="18"/>
      <x:c r="H187" s="18"/>
      <x:c r="I187" s="18"/>
      <x:c r="J187" s="18"/>
      <x:c r="K187" s="18" t="str">
        <x:f>IF(A187="","",IF(E187="Expired","",IF(E187="Check Duration","",COUNTIFS($A$5:$A$204,"&lt;"&amp;A187,$E$5:$E$204,"&lt;&gt;Expired",$E$5:$E$204,"&lt;&gt;Check Duration")+COUNTIFS($A$5:A187,A187,$E$5:E187,"&lt;&gt;Expired",$E$5:E187,"&lt;&gt;Check Duration"))))</x:f>
      </x:c>
      <x:c r="L187" s="18" t="str">
        <x:f>IF(A187="","",IFERROR(TEXTJOIN("; ",TRUE,FILTER('Benefit Resets'!$J$5:$J$204,'Benefit Resets'!$A$5:$A$204=A187,'Benefit Resets'!$L$5:$L$204="Yes")),""))</x:f>
      </x:c>
      <x:c r="M187" s="18" t="str">
        <x:f>IF(A187="","",IF(L187="",G187,G187&amp;" | "&amp;L187))</x:f>
      </x:c>
    </x:row>
    <x:row r="188">
      <x:c r="A188" s="18"/>
      <x:c r="B188" s="19"/>
      <x:c r="C188" s="18"/>
      <x:c r="D188" s="19" t="str">
        <x:f>IF(A188="","",IFERROR(B188+VLOOKUP(C188,Lists!$A$2:$B$101,2,FALSE),"Check duration"))</x:f>
      </x:c>
      <x:c r="E188" s="18" t="str">
        <x:f>IF(A188="","",IF(ISNUMBER(D188),IF(D188&lt;TODAY(),"Expired",IF(D188&lt;=TODAY()+7,"Expiring Soon","Active")),"Check Duration"))</x:f>
      </x:c>
      <x:c r="F188" s="18"/>
      <x:c r="G188" s="18"/>
      <x:c r="H188" s="18"/>
      <x:c r="I188" s="18"/>
      <x:c r="J188" s="18"/>
      <x:c r="K188" s="18" t="str">
        <x:f>IF(A188="","",IF(E188="Expired","",IF(E188="Check Duration","",COUNTIFS($A$5:$A$204,"&lt;"&amp;A188,$E$5:$E$204,"&lt;&gt;Expired",$E$5:$E$204,"&lt;&gt;Check Duration")+COUNTIFS($A$5:A188,A188,$E$5:E188,"&lt;&gt;Expired",$E$5:E188,"&lt;&gt;Check Duration"))))</x:f>
      </x:c>
      <x:c r="L188" s="18" t="str">
        <x:f>IF(A188="","",IFERROR(TEXTJOIN("; ",TRUE,FILTER('Benefit Resets'!$J$5:$J$204,'Benefit Resets'!$A$5:$A$204=A188,'Benefit Resets'!$L$5:$L$204="Yes")),""))</x:f>
      </x:c>
      <x:c r="M188" s="18" t="str">
        <x:f>IF(A188="","",IF(L188="",G188,G188&amp;" | "&amp;L188))</x:f>
      </x:c>
    </x:row>
    <x:row r="189">
      <x:c r="A189" s="18"/>
      <x:c r="B189" s="19"/>
      <x:c r="C189" s="18"/>
      <x:c r="D189" s="19" t="str">
        <x:f>IF(A189="","",IFERROR(B189+VLOOKUP(C189,Lists!$A$2:$B$101,2,FALSE),"Check duration"))</x:f>
      </x:c>
      <x:c r="E189" s="18" t="str">
        <x:f>IF(A189="","",IF(ISNUMBER(D189),IF(D189&lt;TODAY(),"Expired",IF(D189&lt;=TODAY()+7,"Expiring Soon","Active")),"Check Duration"))</x:f>
      </x:c>
      <x:c r="F189" s="18"/>
      <x:c r="G189" s="18"/>
      <x:c r="H189" s="18"/>
      <x:c r="I189" s="18"/>
      <x:c r="J189" s="18"/>
      <x:c r="K189" s="18" t="str">
        <x:f>IF(A189="","",IF(E189="Expired","",IF(E189="Check Duration","",COUNTIFS($A$5:$A$204,"&lt;"&amp;A189,$E$5:$E$204,"&lt;&gt;Expired",$E$5:$E$204,"&lt;&gt;Check Duration")+COUNTIFS($A$5:A189,A189,$E$5:E189,"&lt;&gt;Expired",$E$5:E189,"&lt;&gt;Check Duration"))))</x:f>
      </x:c>
      <x:c r="L189" s="18" t="str">
        <x:f>IF(A189="","",IFERROR(TEXTJOIN("; ",TRUE,FILTER('Benefit Resets'!$J$5:$J$204,'Benefit Resets'!$A$5:$A$204=A189,'Benefit Resets'!$L$5:$L$204="Yes")),""))</x:f>
      </x:c>
      <x:c r="M189" s="18" t="str">
        <x:f>IF(A189="","",IF(L189="",G189,G189&amp;" | "&amp;L189))</x:f>
      </x:c>
    </x:row>
    <x:row r="190">
      <x:c r="A190" s="18"/>
      <x:c r="B190" s="19"/>
      <x:c r="C190" s="18"/>
      <x:c r="D190" s="19" t="str">
        <x:f>IF(A190="","",IFERROR(B190+VLOOKUP(C190,Lists!$A$2:$B$101,2,FALSE),"Check duration"))</x:f>
      </x:c>
      <x:c r="E190" s="18" t="str">
        <x:f>IF(A190="","",IF(ISNUMBER(D190),IF(D190&lt;TODAY(),"Expired",IF(D190&lt;=TODAY()+7,"Expiring Soon","Active")),"Check Duration"))</x:f>
      </x:c>
      <x:c r="F190" s="18"/>
      <x:c r="G190" s="18"/>
      <x:c r="H190" s="18"/>
      <x:c r="I190" s="18"/>
      <x:c r="J190" s="18"/>
      <x:c r="K190" s="18" t="str">
        <x:f>IF(A190="","",IF(E190="Expired","",IF(E190="Check Duration","",COUNTIFS($A$5:$A$204,"&lt;"&amp;A190,$E$5:$E$204,"&lt;&gt;Expired",$E$5:$E$204,"&lt;&gt;Check Duration")+COUNTIFS($A$5:A190,A190,$E$5:E190,"&lt;&gt;Expired",$E$5:E190,"&lt;&gt;Check Duration"))))</x:f>
      </x:c>
      <x:c r="L190" s="18" t="str">
        <x:f>IF(A190="","",IFERROR(TEXTJOIN("; ",TRUE,FILTER('Benefit Resets'!$J$5:$J$204,'Benefit Resets'!$A$5:$A$204=A190,'Benefit Resets'!$L$5:$L$204="Yes")),""))</x:f>
      </x:c>
      <x:c r="M190" s="18" t="str">
        <x:f>IF(A190="","",IF(L190="",G190,G190&amp;" | "&amp;L190))</x:f>
      </x:c>
    </x:row>
    <x:row r="191">
      <x:c r="A191" s="18"/>
      <x:c r="B191" s="19"/>
      <x:c r="C191" s="18"/>
      <x:c r="D191" s="19" t="str">
        <x:f>IF(A191="","",IFERROR(B191+VLOOKUP(C191,Lists!$A$2:$B$101,2,FALSE),"Check duration"))</x:f>
      </x:c>
      <x:c r="E191" s="18" t="str">
        <x:f>IF(A191="","",IF(ISNUMBER(D191),IF(D191&lt;TODAY(),"Expired",IF(D191&lt;=TODAY()+7,"Expiring Soon","Active")),"Check Duration"))</x:f>
      </x:c>
      <x:c r="F191" s="18"/>
      <x:c r="G191" s="18"/>
      <x:c r="H191" s="18"/>
      <x:c r="I191" s="18"/>
      <x:c r="J191" s="18"/>
      <x:c r="K191" s="18" t="str">
        <x:f>IF(A191="","",IF(E191="Expired","",IF(E191="Check Duration","",COUNTIFS($A$5:$A$204,"&lt;"&amp;A191,$E$5:$E$204,"&lt;&gt;Expired",$E$5:$E$204,"&lt;&gt;Check Duration")+COUNTIFS($A$5:A191,A191,$E$5:E191,"&lt;&gt;Expired",$E$5:E191,"&lt;&gt;Check Duration"))))</x:f>
      </x:c>
      <x:c r="L191" s="18" t="str">
        <x:f>IF(A191="","",IFERROR(TEXTJOIN("; ",TRUE,FILTER('Benefit Resets'!$J$5:$J$204,'Benefit Resets'!$A$5:$A$204=A191,'Benefit Resets'!$L$5:$L$204="Yes")),""))</x:f>
      </x:c>
      <x:c r="M191" s="18" t="str">
        <x:f>IF(A191="","",IF(L191="",G191,G191&amp;" | "&amp;L191))</x:f>
      </x:c>
    </x:row>
    <x:row r="192">
      <x:c r="A192" s="18"/>
      <x:c r="B192" s="19"/>
      <x:c r="C192" s="18"/>
      <x:c r="D192" s="19" t="str">
        <x:f>IF(A192="","",IFERROR(B192+VLOOKUP(C192,Lists!$A$2:$B$101,2,FALSE),"Check duration"))</x:f>
      </x:c>
      <x:c r="E192" s="18" t="str">
        <x:f>IF(A192="","",IF(ISNUMBER(D192),IF(D192&lt;TODAY(),"Expired",IF(D192&lt;=TODAY()+7,"Expiring Soon","Active")),"Check Duration"))</x:f>
      </x:c>
      <x:c r="F192" s="18"/>
      <x:c r="G192" s="18"/>
      <x:c r="H192" s="18"/>
      <x:c r="I192" s="18"/>
      <x:c r="J192" s="18"/>
      <x:c r="K192" s="18" t="str">
        <x:f>IF(A192="","",IF(E192="Expired","",IF(E192="Check Duration","",COUNTIFS($A$5:$A$204,"&lt;"&amp;A192,$E$5:$E$204,"&lt;&gt;Expired",$E$5:$E$204,"&lt;&gt;Check Duration")+COUNTIFS($A$5:A192,A192,$E$5:E192,"&lt;&gt;Expired",$E$5:E192,"&lt;&gt;Check Duration"))))</x:f>
      </x:c>
      <x:c r="L192" s="18" t="str">
        <x:f>IF(A192="","",IFERROR(TEXTJOIN("; ",TRUE,FILTER('Benefit Resets'!$J$5:$J$204,'Benefit Resets'!$A$5:$A$204=A192,'Benefit Resets'!$L$5:$L$204="Yes")),""))</x:f>
      </x:c>
      <x:c r="M192" s="18" t="str">
        <x:f>IF(A192="","",IF(L192="",G192,G192&amp;" | "&amp;L192))</x:f>
      </x:c>
    </x:row>
    <x:row r="193">
      <x:c r="A193" s="18"/>
      <x:c r="B193" s="19"/>
      <x:c r="C193" s="18"/>
      <x:c r="D193" s="19" t="str">
        <x:f>IF(A193="","",IFERROR(B193+VLOOKUP(C193,Lists!$A$2:$B$101,2,FALSE),"Check duration"))</x:f>
      </x:c>
      <x:c r="E193" s="18" t="str">
        <x:f>IF(A193="","",IF(ISNUMBER(D193),IF(D193&lt;TODAY(),"Expired",IF(D193&lt;=TODAY()+7,"Expiring Soon","Active")),"Check Duration"))</x:f>
      </x:c>
      <x:c r="F193" s="18"/>
      <x:c r="G193" s="18"/>
      <x:c r="H193" s="18"/>
      <x:c r="I193" s="18"/>
      <x:c r="J193" s="18"/>
      <x:c r="K193" s="18" t="str">
        <x:f>IF(A193="","",IF(E193="Expired","",IF(E193="Check Duration","",COUNTIFS($A$5:$A$204,"&lt;"&amp;A193,$E$5:$E$204,"&lt;&gt;Expired",$E$5:$E$204,"&lt;&gt;Check Duration")+COUNTIFS($A$5:A193,A193,$E$5:E193,"&lt;&gt;Expired",$E$5:E193,"&lt;&gt;Check Duration"))))</x:f>
      </x:c>
      <x:c r="L193" s="18" t="str">
        <x:f>IF(A193="","",IFERROR(TEXTJOIN("; ",TRUE,FILTER('Benefit Resets'!$J$5:$J$204,'Benefit Resets'!$A$5:$A$204=A193,'Benefit Resets'!$L$5:$L$204="Yes")),""))</x:f>
      </x:c>
      <x:c r="M193" s="18" t="str">
        <x:f>IF(A193="","",IF(L193="",G193,G193&amp;" | "&amp;L193))</x:f>
      </x:c>
    </x:row>
    <x:row r="194">
      <x:c r="A194" s="18"/>
      <x:c r="B194" s="19"/>
      <x:c r="C194" s="18"/>
      <x:c r="D194" s="19" t="str">
        <x:f>IF(A194="","",IFERROR(B194+VLOOKUP(C194,Lists!$A$2:$B$101,2,FALSE),"Check duration"))</x:f>
      </x:c>
      <x:c r="E194" s="18" t="str">
        <x:f>IF(A194="","",IF(ISNUMBER(D194),IF(D194&lt;TODAY(),"Expired",IF(D194&lt;=TODAY()+7,"Expiring Soon","Active")),"Check Duration"))</x:f>
      </x:c>
      <x:c r="F194" s="18"/>
      <x:c r="G194" s="18"/>
      <x:c r="H194" s="18"/>
      <x:c r="I194" s="18"/>
      <x:c r="J194" s="18"/>
      <x:c r="K194" s="18" t="str">
        <x:f>IF(A194="","",IF(E194="Expired","",IF(E194="Check Duration","",COUNTIFS($A$5:$A$204,"&lt;"&amp;A194,$E$5:$E$204,"&lt;&gt;Expired",$E$5:$E$204,"&lt;&gt;Check Duration")+COUNTIFS($A$5:A194,A194,$E$5:E194,"&lt;&gt;Expired",$E$5:E194,"&lt;&gt;Check Duration"))))</x:f>
      </x:c>
      <x:c r="L194" s="18" t="str">
        <x:f>IF(A194="","",IFERROR(TEXTJOIN("; ",TRUE,FILTER('Benefit Resets'!$J$5:$J$204,'Benefit Resets'!$A$5:$A$204=A194,'Benefit Resets'!$L$5:$L$204="Yes")),""))</x:f>
      </x:c>
      <x:c r="M194" s="18" t="str">
        <x:f>IF(A194="","",IF(L194="",G194,G194&amp;" | "&amp;L194))</x:f>
      </x:c>
    </x:row>
    <x:row r="195">
      <x:c r="A195" s="18"/>
      <x:c r="B195" s="19"/>
      <x:c r="C195" s="18"/>
      <x:c r="D195" s="19" t="str">
        <x:f>IF(A195="","",IFERROR(B195+VLOOKUP(C195,Lists!$A$2:$B$101,2,FALSE),"Check duration"))</x:f>
      </x:c>
      <x:c r="E195" s="18" t="str">
        <x:f>IF(A195="","",IF(ISNUMBER(D195),IF(D195&lt;TODAY(),"Expired",IF(D195&lt;=TODAY()+7,"Expiring Soon","Active")),"Check Duration"))</x:f>
      </x:c>
      <x:c r="F195" s="18"/>
      <x:c r="G195" s="18"/>
      <x:c r="H195" s="18"/>
      <x:c r="I195" s="18"/>
      <x:c r="J195" s="18"/>
      <x:c r="K195" s="18" t="str">
        <x:f>IF(A195="","",IF(E195="Expired","",IF(E195="Check Duration","",COUNTIFS($A$5:$A$204,"&lt;"&amp;A195,$E$5:$E$204,"&lt;&gt;Expired",$E$5:$E$204,"&lt;&gt;Check Duration")+COUNTIFS($A$5:A195,A195,$E$5:E195,"&lt;&gt;Expired",$E$5:E195,"&lt;&gt;Check Duration"))))</x:f>
      </x:c>
      <x:c r="L195" s="18" t="str">
        <x:f>IF(A195="","",IFERROR(TEXTJOIN("; ",TRUE,FILTER('Benefit Resets'!$J$5:$J$204,'Benefit Resets'!$A$5:$A$204=A195,'Benefit Resets'!$L$5:$L$204="Yes")),""))</x:f>
      </x:c>
      <x:c r="M195" s="18" t="str">
        <x:f>IF(A195="","",IF(L195="",G195,G195&amp;" | "&amp;L195))</x:f>
      </x:c>
    </x:row>
    <x:row r="196">
      <x:c r="A196" s="18"/>
      <x:c r="B196" s="19"/>
      <x:c r="C196" s="18"/>
      <x:c r="D196" s="19" t="str">
        <x:f>IF(A196="","",IFERROR(B196+VLOOKUP(C196,Lists!$A$2:$B$101,2,FALSE),"Check duration"))</x:f>
      </x:c>
      <x:c r="E196" s="18" t="str">
        <x:f>IF(A196="","",IF(ISNUMBER(D196),IF(D196&lt;TODAY(),"Expired",IF(D196&lt;=TODAY()+7,"Expiring Soon","Active")),"Check Duration"))</x:f>
      </x:c>
      <x:c r="F196" s="18"/>
      <x:c r="G196" s="18"/>
      <x:c r="H196" s="18"/>
      <x:c r="I196" s="18"/>
      <x:c r="J196" s="18"/>
      <x:c r="K196" s="18" t="str">
        <x:f>IF(A196="","",IF(E196="Expired","",IF(E196="Check Duration","",COUNTIFS($A$5:$A$204,"&lt;"&amp;A196,$E$5:$E$204,"&lt;&gt;Expired",$E$5:$E$204,"&lt;&gt;Check Duration")+COUNTIFS($A$5:A196,A196,$E$5:E196,"&lt;&gt;Expired",$E$5:E196,"&lt;&gt;Check Duration"))))</x:f>
      </x:c>
      <x:c r="L196" s="18" t="str">
        <x:f>IF(A196="","",IFERROR(TEXTJOIN("; ",TRUE,FILTER('Benefit Resets'!$J$5:$J$204,'Benefit Resets'!$A$5:$A$204=A196,'Benefit Resets'!$L$5:$L$204="Yes")),""))</x:f>
      </x:c>
      <x:c r="M196" s="18" t="str">
        <x:f>IF(A196="","",IF(L196="",G196,G196&amp;" | "&amp;L196))</x:f>
      </x:c>
    </x:row>
    <x:row r="197">
      <x:c r="A197" s="18"/>
      <x:c r="B197" s="19"/>
      <x:c r="C197" s="18"/>
      <x:c r="D197" s="19" t="str">
        <x:f>IF(A197="","",IFERROR(B197+VLOOKUP(C197,Lists!$A$2:$B$101,2,FALSE),"Check duration"))</x:f>
      </x:c>
      <x:c r="E197" s="18" t="str">
        <x:f>IF(A197="","",IF(ISNUMBER(D197),IF(D197&lt;TODAY(),"Expired",IF(D197&lt;=TODAY()+7,"Expiring Soon","Active")),"Check Duration"))</x:f>
      </x:c>
      <x:c r="F197" s="18"/>
      <x:c r="G197" s="18"/>
      <x:c r="H197" s="18"/>
      <x:c r="I197" s="18"/>
      <x:c r="J197" s="18"/>
      <x:c r="K197" s="18" t="str">
        <x:f>IF(A197="","",IF(E197="Expired","",IF(E197="Check Duration","",COUNTIFS($A$5:$A$204,"&lt;"&amp;A197,$E$5:$E$204,"&lt;&gt;Expired",$E$5:$E$204,"&lt;&gt;Check Duration")+COUNTIFS($A$5:A197,A197,$E$5:E197,"&lt;&gt;Expired",$E$5:E197,"&lt;&gt;Check Duration"))))</x:f>
      </x:c>
      <x:c r="L197" s="18" t="str">
        <x:f>IF(A197="","",IFERROR(TEXTJOIN("; ",TRUE,FILTER('Benefit Resets'!$J$5:$J$204,'Benefit Resets'!$A$5:$A$204=A197,'Benefit Resets'!$L$5:$L$204="Yes")),""))</x:f>
      </x:c>
      <x:c r="M197" s="18" t="str">
        <x:f>IF(A197="","",IF(L197="",G197,G197&amp;" | "&amp;L197))</x:f>
      </x:c>
    </x:row>
    <x:row r="198">
      <x:c r="A198" s="18"/>
      <x:c r="B198" s="19"/>
      <x:c r="C198" s="18"/>
      <x:c r="D198" s="19" t="str">
        <x:f>IF(A198="","",IFERROR(B198+VLOOKUP(C198,Lists!$A$2:$B$101,2,FALSE),"Check duration"))</x:f>
      </x:c>
      <x:c r="E198" s="18" t="str">
        <x:f>IF(A198="","",IF(ISNUMBER(D198),IF(D198&lt;TODAY(),"Expired",IF(D198&lt;=TODAY()+7,"Expiring Soon","Active")),"Check Duration"))</x:f>
      </x:c>
      <x:c r="F198" s="18"/>
      <x:c r="G198" s="18"/>
      <x:c r="H198" s="18"/>
      <x:c r="I198" s="18"/>
      <x:c r="J198" s="18"/>
      <x:c r="K198" s="18" t="str">
        <x:f>IF(A198="","",IF(E198="Expired","",IF(E198="Check Duration","",COUNTIFS($A$5:$A$204,"&lt;"&amp;A198,$E$5:$E$204,"&lt;&gt;Expired",$E$5:$E$204,"&lt;&gt;Check Duration")+COUNTIFS($A$5:A198,A198,$E$5:E198,"&lt;&gt;Expired",$E$5:E198,"&lt;&gt;Check Duration"))))</x:f>
      </x:c>
      <x:c r="L198" s="18" t="str">
        <x:f>IF(A198="","",IFERROR(TEXTJOIN("; ",TRUE,FILTER('Benefit Resets'!$J$5:$J$204,'Benefit Resets'!$A$5:$A$204=A198,'Benefit Resets'!$L$5:$L$204="Yes")),""))</x:f>
      </x:c>
      <x:c r="M198" s="18" t="str">
        <x:f>IF(A198="","",IF(L198="",G198,G198&amp;" | "&amp;L198))</x:f>
      </x:c>
    </x:row>
    <x:row r="199">
      <x:c r="A199" s="18"/>
      <x:c r="B199" s="19"/>
      <x:c r="C199" s="18"/>
      <x:c r="D199" s="19" t="str">
        <x:f>IF(A199="","",IFERROR(B199+VLOOKUP(C199,Lists!$A$2:$B$101,2,FALSE),"Check duration"))</x:f>
      </x:c>
      <x:c r="E199" s="18" t="str">
        <x:f>IF(A199="","",IF(ISNUMBER(D199),IF(D199&lt;TODAY(),"Expired",IF(D199&lt;=TODAY()+7,"Expiring Soon","Active")),"Check Duration"))</x:f>
      </x:c>
      <x:c r="F199" s="18"/>
      <x:c r="G199" s="18"/>
      <x:c r="H199" s="18"/>
      <x:c r="I199" s="18"/>
      <x:c r="J199" s="18"/>
      <x:c r="K199" s="18" t="str">
        <x:f>IF(A199="","",IF(E199="Expired","",IF(E199="Check Duration","",COUNTIFS($A$5:$A$204,"&lt;"&amp;A199,$E$5:$E$204,"&lt;&gt;Expired",$E$5:$E$204,"&lt;&gt;Check Duration")+COUNTIFS($A$5:A199,A199,$E$5:E199,"&lt;&gt;Expired",$E$5:E199,"&lt;&gt;Check Duration"))))</x:f>
      </x:c>
      <x:c r="L199" s="18" t="str">
        <x:f>IF(A199="","",IFERROR(TEXTJOIN("; ",TRUE,FILTER('Benefit Resets'!$J$5:$J$204,'Benefit Resets'!$A$5:$A$204=A199,'Benefit Resets'!$L$5:$L$204="Yes")),""))</x:f>
      </x:c>
      <x:c r="M199" s="18" t="str">
        <x:f>IF(A199="","",IF(L199="",G199,G199&amp;" | "&amp;L199))</x:f>
      </x:c>
    </x:row>
    <x:row r="200">
      <x:c r="A200" s="18"/>
      <x:c r="B200" s="19"/>
      <x:c r="C200" s="18"/>
      <x:c r="D200" s="19" t="str">
        <x:f>IF(A200="","",IFERROR(B200+VLOOKUP(C200,Lists!$A$2:$B$101,2,FALSE),"Check duration"))</x:f>
      </x:c>
      <x:c r="E200" s="18" t="str">
        <x:f>IF(A200="","",IF(ISNUMBER(D200),IF(D200&lt;TODAY(),"Expired",IF(D200&lt;=TODAY()+7,"Expiring Soon","Active")),"Check Duration"))</x:f>
      </x:c>
      <x:c r="F200" s="18"/>
      <x:c r="G200" s="18"/>
      <x:c r="H200" s="18"/>
      <x:c r="I200" s="18"/>
      <x:c r="J200" s="18"/>
      <x:c r="K200" s="18" t="str">
        <x:f>IF(A200="","",IF(E200="Expired","",IF(E200="Check Duration","",COUNTIFS($A$5:$A$204,"&lt;"&amp;A200,$E$5:$E$204,"&lt;&gt;Expired",$E$5:$E$204,"&lt;&gt;Check Duration")+COUNTIFS($A$5:A200,A200,$E$5:E200,"&lt;&gt;Expired",$E$5:E200,"&lt;&gt;Check Duration"))))</x:f>
      </x:c>
      <x:c r="L200" s="18" t="str">
        <x:f>IF(A200="","",IFERROR(TEXTJOIN("; ",TRUE,FILTER('Benefit Resets'!$J$5:$J$204,'Benefit Resets'!$A$5:$A$204=A200,'Benefit Resets'!$L$5:$L$204="Yes")),""))</x:f>
      </x:c>
      <x:c r="M200" s="18" t="str">
        <x:f>IF(A200="","",IF(L200="",G200,G200&amp;" | "&amp;L200))</x:f>
      </x:c>
    </x:row>
    <x:row r="201">
      <x:c r="A201" s="18"/>
      <x:c r="B201" s="19"/>
      <x:c r="C201" s="18"/>
      <x:c r="D201" s="19" t="str">
        <x:f>IF(A201="","",IFERROR(B201+VLOOKUP(C201,Lists!$A$2:$B$101,2,FALSE),"Check duration"))</x:f>
      </x:c>
      <x:c r="E201" s="18" t="str">
        <x:f>IF(A201="","",IF(ISNUMBER(D201),IF(D201&lt;TODAY(),"Expired",IF(D201&lt;=TODAY()+7,"Expiring Soon","Active")),"Check Duration"))</x:f>
      </x:c>
      <x:c r="F201" s="18"/>
      <x:c r="G201" s="18"/>
      <x:c r="H201" s="18"/>
      <x:c r="I201" s="18"/>
      <x:c r="J201" s="18"/>
      <x:c r="K201" s="18" t="str">
        <x:f>IF(A201="","",IF(E201="Expired","",IF(E201="Check Duration","",COUNTIFS($A$5:$A$204,"&lt;"&amp;A201,$E$5:$E$204,"&lt;&gt;Expired",$E$5:$E$204,"&lt;&gt;Check Duration")+COUNTIFS($A$5:A201,A201,$E$5:E201,"&lt;&gt;Expired",$E$5:E201,"&lt;&gt;Check Duration"))))</x:f>
      </x:c>
      <x:c r="L201" s="18" t="str">
        <x:f>IF(A201="","",IFERROR(TEXTJOIN("; ",TRUE,FILTER('Benefit Resets'!$J$5:$J$204,'Benefit Resets'!$A$5:$A$204=A201,'Benefit Resets'!$L$5:$L$204="Yes")),""))</x:f>
      </x:c>
      <x:c r="M201" s="18" t="str">
        <x:f>IF(A201="","",IF(L201="",G201,G201&amp;" | "&amp;L201))</x:f>
      </x:c>
    </x:row>
    <x:row r="202">
      <x:c r="A202" s="18"/>
      <x:c r="B202" s="19"/>
      <x:c r="C202" s="18"/>
      <x:c r="D202" s="19" t="str">
        <x:f>IF(A202="","",IFERROR(B202+VLOOKUP(C202,Lists!$A$2:$B$101,2,FALSE),"Check duration"))</x:f>
      </x:c>
      <x:c r="E202" s="18" t="str">
        <x:f>IF(A202="","",IF(ISNUMBER(D202),IF(D202&lt;TODAY(),"Expired",IF(D202&lt;=TODAY()+7,"Expiring Soon","Active")),"Check Duration"))</x:f>
      </x:c>
      <x:c r="F202" s="18"/>
      <x:c r="G202" s="18"/>
      <x:c r="H202" s="18"/>
      <x:c r="I202" s="18"/>
      <x:c r="J202" s="18"/>
      <x:c r="K202" s="18" t="str">
        <x:f>IF(A202="","",IF(E202="Expired","",IF(E202="Check Duration","",COUNTIFS($A$5:$A$204,"&lt;"&amp;A202,$E$5:$E$204,"&lt;&gt;Expired",$E$5:$E$204,"&lt;&gt;Check Duration")+COUNTIFS($A$5:A202,A202,$E$5:E202,"&lt;&gt;Expired",$E$5:E202,"&lt;&gt;Check Duration"))))</x:f>
      </x:c>
      <x:c r="L202" s="18" t="str">
        <x:f>IF(A202="","",IFERROR(TEXTJOIN("; ",TRUE,FILTER('Benefit Resets'!$J$5:$J$204,'Benefit Resets'!$A$5:$A$204=A202,'Benefit Resets'!$L$5:$L$204="Yes")),""))</x:f>
      </x:c>
      <x:c r="M202" s="18" t="str">
        <x:f>IF(A202="","",IF(L202="",G202,G202&amp;" | "&amp;L202))</x:f>
      </x:c>
    </x:row>
    <x:row r="203">
      <x:c r="A203" s="18"/>
      <x:c r="B203" s="19"/>
      <x:c r="C203" s="18"/>
      <x:c r="D203" s="19" t="str">
        <x:f>IF(A203="","",IFERROR(B203+VLOOKUP(C203,Lists!$A$2:$B$101,2,FALSE),"Check duration"))</x:f>
      </x:c>
      <x:c r="E203" s="18" t="str">
        <x:f>IF(A203="","",IF(ISNUMBER(D203),IF(D203&lt;TODAY(),"Expired",IF(D203&lt;=TODAY()+7,"Expiring Soon","Active")),"Check Duration"))</x:f>
      </x:c>
      <x:c r="F203" s="18"/>
      <x:c r="G203" s="18"/>
      <x:c r="H203" s="18"/>
      <x:c r="I203" s="18"/>
      <x:c r="J203" s="18"/>
      <x:c r="K203" s="18" t="str">
        <x:f>IF(A203="","",IF(E203="Expired","",IF(E203="Check Duration","",COUNTIFS($A$5:$A$204,"&lt;"&amp;A203,$E$5:$E$204,"&lt;&gt;Expired",$E$5:$E$204,"&lt;&gt;Check Duration")+COUNTIFS($A$5:A203,A203,$E$5:E203,"&lt;&gt;Expired",$E$5:E203,"&lt;&gt;Check Duration"))))</x:f>
      </x:c>
      <x:c r="L203" s="18" t="str">
        <x:f>IF(A203="","",IFERROR(TEXTJOIN("; ",TRUE,FILTER('Benefit Resets'!$J$5:$J$204,'Benefit Resets'!$A$5:$A$204=A203,'Benefit Resets'!$L$5:$L$204="Yes")),""))</x:f>
      </x:c>
      <x:c r="M203" s="18" t="str">
        <x:f>IF(A203="","",IF(L203="",G203,G203&amp;" | "&amp;L203))</x:f>
      </x:c>
    </x:row>
    <x:row r="204">
      <x:c r="A204" s="18"/>
      <x:c r="B204" s="19"/>
      <x:c r="C204" s="18"/>
      <x:c r="D204" s="19" t="str">
        <x:f>IF(A204="","",IFERROR(B204+VLOOKUP(C204,Lists!$A$2:$B$101,2,FALSE),"Check duration"))</x:f>
      </x:c>
      <x:c r="E204" s="18" t="str">
        <x:f>IF(A204="","",IF(ISNUMBER(D204),IF(D204&lt;TODAY(),"Expired",IF(D204&lt;=TODAY()+7,"Expiring Soon","Active")),"Check Duration"))</x:f>
      </x:c>
      <x:c r="F204" s="18"/>
      <x:c r="G204" s="18"/>
      <x:c r="H204" s="18"/>
      <x:c r="I204" s="18"/>
      <x:c r="J204" s="18"/>
      <x:c r="K204" s="18" t="str">
        <x:f>IF(A204="","",IF(E204="Expired","",IF(E204="Check Duration","",COUNTIFS($A$5:$A$204,"&lt;"&amp;A204,$E$5:$E$204,"&lt;&gt;Expired",$E$5:$E$204,"&lt;&gt;Check Duration")+COUNTIFS($A$5:A204,A204,$E$5:E204,"&lt;&gt;Expired",$E$5:E204,"&lt;&gt;Check Duration"))))</x:f>
      </x:c>
      <x:c r="L204" s="18" t="str">
        <x:f>IF(A204="","",IFERROR(TEXTJOIN("; ",TRUE,FILTER('Benefit Resets'!$J$5:$J$204,'Benefit Resets'!$A$5:$A$204=A204,'Benefit Resets'!$L$5:$L$204="Yes")),""))</x:f>
      </x:c>
      <x:c r="M204" s="18" t="str">
        <x:f>IF(A204="","",IF(L204="",G204,G204&amp;" | "&amp;L204))</x:f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42.5" hidden="0" customWidth="1"/>
  </x:cols>
  <x:sheetData>
    <x:row r="1">
      <x:c r="A1" s="3" t="str">
        <x:v>Plugin Export</x:v>
      </x:c>
      <x:c r="B1" s="3" t="str">
        <x:v>Plugin Export</x:v>
      </x:c>
      <x:c r="C1" s="3" t="str">
        <x:v>Plugin Export</x:v>
      </x:c>
      <x:c r="D1" s="3" t="str">
        <x:v>Plugin Export</x:v>
      </x:c>
      <x:c r="E1" s="3" t="str">
        <x:v>Plugin Export</x:v>
      </x:c>
      <x:c r="F1" s="3" t="str">
        <x:v>Plugin Export</x:v>
      </x:c>
      <x:c r="G1" s="3" t="str">
        <x:v>Plugin Export</x:v>
      </x:c>
    </x:row>
    <x:row r="2">
      <x:c r="A2" s="7" t="str">
        <x:v>Publish this tab as CSV. Column D includes resettable benefit availability and remaining uses.</x:v>
      </x:c>
      <x:c r="B2" s="7" t="str">
        <x:v>Publish this tab as CSV. Column D includes resettable benefit availability and remaining uses.</x:v>
      </x:c>
      <x:c r="C2" s="7" t="str">
        <x:v>Publish this tab as CSV. Column D includes resettable benefit availability and remaining uses.</x:v>
      </x:c>
      <x:c r="D2" s="7" t="str">
        <x:v>Publish this tab as CSV. Column D includes resettable benefit availability and remaining uses.</x:v>
      </x:c>
      <x:c r="E2" s="7" t="str">
        <x:v>Publish this tab as CSV. Column D includes resettable benefit availability and remaining uses.</x:v>
      </x:c>
      <x:c r="F2" s="7" t="str">
        <x:v>Publish this tab as CSV. Column D includes resettable benefit availability and remaining uses.</x:v>
      </x:c>
      <x:c r="G2" s="7" t="str">
        <x:v>Publish this tab as CSV. Column D includes resettable benefit availability and remaining uses.</x:v>
      </x:c>
    </x:row>
    <x:row r="4">
      <x:c r="A4" s="13" t="str">
        <x:v>Character Name</x:v>
      </x:c>
      <x:c r="B4" s="13" t="str">
        <x:v>Expiration Date</x:v>
      </x:c>
      <x:c r="C4" s="13" t="str">
        <x:v>VIP Type</x:v>
      </x:c>
      <x:c r="D4" s="13" t="str">
        <x:v>Benefits Available</x:v>
      </x:c>
      <x:c r="E4" s="13" t="str">
        <x:v>Duration</x:v>
      </x:c>
      <x:c r="F4" s="13" t="str">
        <x:v>Status</x:v>
      </x:c>
      <x:c r="G4" s="13" t="str">
        <x:v>Notes</x:v>
      </x:c>
    </x:row>
    <x:row r="5">
      <x:c r="A5" s="18" t="str">
        <x:f>IFERROR(INDEX('VIP Signups'!A$5:A$204,MATCH(ROWS($A$5:A5),'VIP Signups'!$K$5:$K$204,0)),"")</x:f>
      </x:c>
      <x:c r="B5" s="18" t="str">
        <x:f>IFERROR(INDEX('VIP Signups'!D$5:D$204,MATCH(ROWS($A$5:A5),'VIP Signups'!$K$5:$K$204,0)),"")</x:f>
      </x:c>
      <x:c r="C5" s="18" t="str">
        <x:f>IFERROR(INDEX('VIP Signups'!F$5:F$204,MATCH(ROWS($A$5:A5),'VIP Signups'!$K$5:$K$204,0)),"")</x:f>
      </x:c>
      <x:c r="D5" s="18" t="str">
        <x:f>IFERROR(INDEX('VIP Signups'!M$5:M$204,MATCH(ROWS($A$5:A5),'VIP Signups'!$K$5:$K$204,0)),"")</x:f>
      </x:c>
      <x:c r="E5" s="18" t="str">
        <x:f>IFERROR(INDEX('VIP Signups'!C$5:C$204,MATCH(ROWS($A$5:A5),'VIP Signups'!$K$5:$K$204,0)),"")</x:f>
      </x:c>
      <x:c r="F5" s="18" t="str">
        <x:f>IFERROR(INDEX('VIP Signups'!E$5:E$204,MATCH(ROWS($A$5:A5),'VIP Signups'!$K$5:$K$204,0)),"")</x:f>
      </x:c>
      <x:c r="G5" s="18" t="str">
        <x:f>IFERROR(INDEX('VIP Signups'!H$5:H$204,MATCH(ROWS($A$5:A5),'VIP Signups'!$K$5:$K$204,0)),"")</x:f>
      </x:c>
    </x:row>
    <x:row r="6">
      <x:c r="A6" s="18" t="str">
        <x:f>IFERROR(INDEX('VIP Signups'!A$5:A$204,MATCH(ROWS($A$5:A6),'VIP Signups'!$K$5:$K$204,0)),"")</x:f>
      </x:c>
      <x:c r="B6" s="18" t="str">
        <x:f>IFERROR(INDEX('VIP Signups'!D$5:D$204,MATCH(ROWS($A$5:A6),'VIP Signups'!$K$5:$K$204,0)),"")</x:f>
      </x:c>
      <x:c r="C6" s="18" t="str">
        <x:f>IFERROR(INDEX('VIP Signups'!F$5:F$204,MATCH(ROWS($A$5:A6),'VIP Signups'!$K$5:$K$204,0)),"")</x:f>
      </x:c>
      <x:c r="D6" s="18" t="str">
        <x:f>IFERROR(INDEX('VIP Signups'!M$5:M$204,MATCH(ROWS($A$5:A6),'VIP Signups'!$K$5:$K$204,0)),"")</x:f>
      </x:c>
      <x:c r="E6" s="18" t="str">
        <x:f>IFERROR(INDEX('VIP Signups'!C$5:C$204,MATCH(ROWS($A$5:A6),'VIP Signups'!$K$5:$K$204,0)),"")</x:f>
      </x:c>
      <x:c r="F6" s="18" t="str">
        <x:f>IFERROR(INDEX('VIP Signups'!E$5:E$204,MATCH(ROWS($A$5:A6),'VIP Signups'!$K$5:$K$204,0)),"")</x:f>
      </x:c>
      <x:c r="G6" s="18" t="str">
        <x:f>IFERROR(INDEX('VIP Signups'!H$5:H$204,MATCH(ROWS($A$5:A6),'VIP Signups'!$K$5:$K$204,0)),"")</x:f>
      </x:c>
    </x:row>
    <x:row r="7">
      <x:c r="A7" s="18" t="str">
        <x:f>IFERROR(INDEX('VIP Signups'!A$5:A$204,MATCH(ROWS($A$5:A7),'VIP Signups'!$K$5:$K$204,0)),"")</x:f>
      </x:c>
      <x:c r="B7" s="18" t="str">
        <x:f>IFERROR(INDEX('VIP Signups'!D$5:D$204,MATCH(ROWS($A$5:A7),'VIP Signups'!$K$5:$K$204,0)),"")</x:f>
      </x:c>
      <x:c r="C7" s="18" t="str">
        <x:f>IFERROR(INDEX('VIP Signups'!F$5:F$204,MATCH(ROWS($A$5:A7),'VIP Signups'!$K$5:$K$204,0)),"")</x:f>
      </x:c>
      <x:c r="D7" s="18" t="str">
        <x:f>IFERROR(INDEX('VIP Signups'!M$5:M$204,MATCH(ROWS($A$5:A7),'VIP Signups'!$K$5:$K$204,0)),"")</x:f>
      </x:c>
      <x:c r="E7" s="18" t="str">
        <x:f>IFERROR(INDEX('VIP Signups'!C$5:C$204,MATCH(ROWS($A$5:A7),'VIP Signups'!$K$5:$K$204,0)),"")</x:f>
      </x:c>
      <x:c r="F7" s="18" t="str">
        <x:f>IFERROR(INDEX('VIP Signups'!E$5:E$204,MATCH(ROWS($A$5:A7),'VIP Signups'!$K$5:$K$204,0)),"")</x:f>
      </x:c>
      <x:c r="G7" s="18" t="str">
        <x:f>IFERROR(INDEX('VIP Signups'!H$5:H$204,MATCH(ROWS($A$5:A7),'VIP Signups'!$K$5:$K$204,0)),"")</x:f>
      </x:c>
    </x:row>
    <x:row r="8">
      <x:c r="A8" s="18" t="str">
        <x:f>IFERROR(INDEX('VIP Signups'!A$5:A$204,MATCH(ROWS($A$5:A8),'VIP Signups'!$K$5:$K$204,0)),"")</x:f>
      </x:c>
      <x:c r="B8" s="18" t="str">
        <x:f>IFERROR(INDEX('VIP Signups'!D$5:D$204,MATCH(ROWS($A$5:A8),'VIP Signups'!$K$5:$K$204,0)),"")</x:f>
      </x:c>
      <x:c r="C8" s="18" t="str">
        <x:f>IFERROR(INDEX('VIP Signups'!F$5:F$204,MATCH(ROWS($A$5:A8),'VIP Signups'!$K$5:$K$204,0)),"")</x:f>
      </x:c>
      <x:c r="D8" s="18" t="str">
        <x:f>IFERROR(INDEX('VIP Signups'!M$5:M$204,MATCH(ROWS($A$5:A8),'VIP Signups'!$K$5:$K$204,0)),"")</x:f>
      </x:c>
      <x:c r="E8" s="18" t="str">
        <x:f>IFERROR(INDEX('VIP Signups'!C$5:C$204,MATCH(ROWS($A$5:A8),'VIP Signups'!$K$5:$K$204,0)),"")</x:f>
      </x:c>
      <x:c r="F8" s="18" t="str">
        <x:f>IFERROR(INDEX('VIP Signups'!E$5:E$204,MATCH(ROWS($A$5:A8),'VIP Signups'!$K$5:$K$204,0)),"")</x:f>
      </x:c>
      <x:c r="G8" s="18" t="str">
        <x:f>IFERROR(INDEX('VIP Signups'!H$5:H$204,MATCH(ROWS($A$5:A8),'VIP Signups'!$K$5:$K$204,0)),"")</x:f>
      </x:c>
    </x:row>
    <x:row r="9">
      <x:c r="A9" s="18" t="str">
        <x:f>IFERROR(INDEX('VIP Signups'!A$5:A$204,MATCH(ROWS($A$5:A9),'VIP Signups'!$K$5:$K$204,0)),"")</x:f>
      </x:c>
      <x:c r="B9" s="18" t="str">
        <x:f>IFERROR(INDEX('VIP Signups'!D$5:D$204,MATCH(ROWS($A$5:A9),'VIP Signups'!$K$5:$K$204,0)),"")</x:f>
      </x:c>
      <x:c r="C9" s="18" t="str">
        <x:f>IFERROR(INDEX('VIP Signups'!F$5:F$204,MATCH(ROWS($A$5:A9),'VIP Signups'!$K$5:$K$204,0)),"")</x:f>
      </x:c>
      <x:c r="D9" s="18" t="str">
        <x:f>IFERROR(INDEX('VIP Signups'!M$5:M$204,MATCH(ROWS($A$5:A9),'VIP Signups'!$K$5:$K$204,0)),"")</x:f>
      </x:c>
      <x:c r="E9" s="18" t="str">
        <x:f>IFERROR(INDEX('VIP Signups'!C$5:C$204,MATCH(ROWS($A$5:A9),'VIP Signups'!$K$5:$K$204,0)),"")</x:f>
      </x:c>
      <x:c r="F9" s="18" t="str">
        <x:f>IFERROR(INDEX('VIP Signups'!E$5:E$204,MATCH(ROWS($A$5:A9),'VIP Signups'!$K$5:$K$204,0)),"")</x:f>
      </x:c>
      <x:c r="G9" s="18" t="str">
        <x:f>IFERROR(INDEX('VIP Signups'!H$5:H$204,MATCH(ROWS($A$5:A9),'VIP Signups'!$K$5:$K$204,0)),"")</x:f>
      </x:c>
    </x:row>
    <x:row r="10">
      <x:c r="A10" s="18" t="str">
        <x:f>IFERROR(INDEX('VIP Signups'!A$5:A$204,MATCH(ROWS($A$5:A10),'VIP Signups'!$K$5:$K$204,0)),"")</x:f>
      </x:c>
      <x:c r="B10" s="18" t="str">
        <x:f>IFERROR(INDEX('VIP Signups'!D$5:D$204,MATCH(ROWS($A$5:A10),'VIP Signups'!$K$5:$K$204,0)),"")</x:f>
      </x:c>
      <x:c r="C10" s="18" t="str">
        <x:f>IFERROR(INDEX('VIP Signups'!F$5:F$204,MATCH(ROWS($A$5:A10),'VIP Signups'!$K$5:$K$204,0)),"")</x:f>
      </x:c>
      <x:c r="D10" s="18" t="str">
        <x:f>IFERROR(INDEX('VIP Signups'!M$5:M$204,MATCH(ROWS($A$5:A10),'VIP Signups'!$K$5:$K$204,0)),"")</x:f>
      </x:c>
      <x:c r="E10" s="18" t="str">
        <x:f>IFERROR(INDEX('VIP Signups'!C$5:C$204,MATCH(ROWS($A$5:A10),'VIP Signups'!$K$5:$K$204,0)),"")</x:f>
      </x:c>
      <x:c r="F10" s="18" t="str">
        <x:f>IFERROR(INDEX('VIP Signups'!E$5:E$204,MATCH(ROWS($A$5:A10),'VIP Signups'!$K$5:$K$204,0)),"")</x:f>
      </x:c>
      <x:c r="G10" s="18" t="str">
        <x:f>IFERROR(INDEX('VIP Signups'!H$5:H$204,MATCH(ROWS($A$5:A10),'VIP Signups'!$K$5:$K$204,0)),"")</x:f>
      </x:c>
    </x:row>
    <x:row r="11">
      <x:c r="A11" s="18" t="str">
        <x:f>IFERROR(INDEX('VIP Signups'!A$5:A$204,MATCH(ROWS($A$5:A11),'VIP Signups'!$K$5:$K$204,0)),"")</x:f>
      </x:c>
      <x:c r="B11" s="18" t="str">
        <x:f>IFERROR(INDEX('VIP Signups'!D$5:D$204,MATCH(ROWS($A$5:A11),'VIP Signups'!$K$5:$K$204,0)),"")</x:f>
      </x:c>
      <x:c r="C11" s="18" t="str">
        <x:f>IFERROR(INDEX('VIP Signups'!F$5:F$204,MATCH(ROWS($A$5:A11),'VIP Signups'!$K$5:$K$204,0)),"")</x:f>
      </x:c>
      <x:c r="D11" s="18" t="str">
        <x:f>IFERROR(INDEX('VIP Signups'!M$5:M$204,MATCH(ROWS($A$5:A11),'VIP Signups'!$K$5:$K$204,0)),"")</x:f>
      </x:c>
      <x:c r="E11" s="18" t="str">
        <x:f>IFERROR(INDEX('VIP Signups'!C$5:C$204,MATCH(ROWS($A$5:A11),'VIP Signups'!$K$5:$K$204,0)),"")</x:f>
      </x:c>
      <x:c r="F11" s="18" t="str">
        <x:f>IFERROR(INDEX('VIP Signups'!E$5:E$204,MATCH(ROWS($A$5:A11),'VIP Signups'!$K$5:$K$204,0)),"")</x:f>
      </x:c>
      <x:c r="G11" s="18" t="str">
        <x:f>IFERROR(INDEX('VIP Signups'!H$5:H$204,MATCH(ROWS($A$5:A11),'VIP Signups'!$K$5:$K$204,0)),"")</x:f>
      </x:c>
    </x:row>
    <x:row r="12">
      <x:c r="A12" s="18" t="str">
        <x:f>IFERROR(INDEX('VIP Signups'!A$5:A$204,MATCH(ROWS($A$5:A12),'VIP Signups'!$K$5:$K$204,0)),"")</x:f>
      </x:c>
      <x:c r="B12" s="18" t="str">
        <x:f>IFERROR(INDEX('VIP Signups'!D$5:D$204,MATCH(ROWS($A$5:A12),'VIP Signups'!$K$5:$K$204,0)),"")</x:f>
      </x:c>
      <x:c r="C12" s="18" t="str">
        <x:f>IFERROR(INDEX('VIP Signups'!F$5:F$204,MATCH(ROWS($A$5:A12),'VIP Signups'!$K$5:$K$204,0)),"")</x:f>
      </x:c>
      <x:c r="D12" s="18" t="str">
        <x:f>IFERROR(INDEX('VIP Signups'!M$5:M$204,MATCH(ROWS($A$5:A12),'VIP Signups'!$K$5:$K$204,0)),"")</x:f>
      </x:c>
      <x:c r="E12" s="18" t="str">
        <x:f>IFERROR(INDEX('VIP Signups'!C$5:C$204,MATCH(ROWS($A$5:A12),'VIP Signups'!$K$5:$K$204,0)),"")</x:f>
      </x:c>
      <x:c r="F12" s="18" t="str">
        <x:f>IFERROR(INDEX('VIP Signups'!E$5:E$204,MATCH(ROWS($A$5:A12),'VIP Signups'!$K$5:$K$204,0)),"")</x:f>
      </x:c>
      <x:c r="G12" s="18" t="str">
        <x:f>IFERROR(INDEX('VIP Signups'!H$5:H$204,MATCH(ROWS($A$5:A12),'VIP Signups'!$K$5:$K$204,0)),"")</x:f>
      </x:c>
    </x:row>
    <x:row r="13">
      <x:c r="A13" s="18" t="str">
        <x:f>IFERROR(INDEX('VIP Signups'!A$5:A$204,MATCH(ROWS($A$5:A13),'VIP Signups'!$K$5:$K$204,0)),"")</x:f>
      </x:c>
      <x:c r="B13" s="18" t="str">
        <x:f>IFERROR(INDEX('VIP Signups'!D$5:D$204,MATCH(ROWS($A$5:A13),'VIP Signups'!$K$5:$K$204,0)),"")</x:f>
      </x:c>
      <x:c r="C13" s="18" t="str">
        <x:f>IFERROR(INDEX('VIP Signups'!F$5:F$204,MATCH(ROWS($A$5:A13),'VIP Signups'!$K$5:$K$204,0)),"")</x:f>
      </x:c>
      <x:c r="D13" s="18" t="str">
        <x:f>IFERROR(INDEX('VIP Signups'!M$5:M$204,MATCH(ROWS($A$5:A13),'VIP Signups'!$K$5:$K$204,0)),"")</x:f>
      </x:c>
      <x:c r="E13" s="18" t="str">
        <x:f>IFERROR(INDEX('VIP Signups'!C$5:C$204,MATCH(ROWS($A$5:A13),'VIP Signups'!$K$5:$K$204,0)),"")</x:f>
      </x:c>
      <x:c r="F13" s="18" t="str">
        <x:f>IFERROR(INDEX('VIP Signups'!E$5:E$204,MATCH(ROWS($A$5:A13),'VIP Signups'!$K$5:$K$204,0)),"")</x:f>
      </x:c>
      <x:c r="G13" s="18" t="str">
        <x:f>IFERROR(INDEX('VIP Signups'!H$5:H$204,MATCH(ROWS($A$5:A13),'VIP Signups'!$K$5:$K$204,0)),"")</x:f>
      </x:c>
    </x:row>
    <x:row r="14">
      <x:c r="A14" s="18" t="str">
        <x:f>IFERROR(INDEX('VIP Signups'!A$5:A$204,MATCH(ROWS($A$5:A14),'VIP Signups'!$K$5:$K$204,0)),"")</x:f>
      </x:c>
      <x:c r="B14" s="18" t="str">
        <x:f>IFERROR(INDEX('VIP Signups'!D$5:D$204,MATCH(ROWS($A$5:A14),'VIP Signups'!$K$5:$K$204,0)),"")</x:f>
      </x:c>
      <x:c r="C14" s="18" t="str">
        <x:f>IFERROR(INDEX('VIP Signups'!F$5:F$204,MATCH(ROWS($A$5:A14),'VIP Signups'!$K$5:$K$204,0)),"")</x:f>
      </x:c>
      <x:c r="D14" s="18" t="str">
        <x:f>IFERROR(INDEX('VIP Signups'!M$5:M$204,MATCH(ROWS($A$5:A14),'VIP Signups'!$K$5:$K$204,0)),"")</x:f>
      </x:c>
      <x:c r="E14" s="18" t="str">
        <x:f>IFERROR(INDEX('VIP Signups'!C$5:C$204,MATCH(ROWS($A$5:A14),'VIP Signups'!$K$5:$K$204,0)),"")</x:f>
      </x:c>
      <x:c r="F14" s="18" t="str">
        <x:f>IFERROR(INDEX('VIP Signups'!E$5:E$204,MATCH(ROWS($A$5:A14),'VIP Signups'!$K$5:$K$204,0)),"")</x:f>
      </x:c>
      <x:c r="G14" s="18" t="str">
        <x:f>IFERROR(INDEX('VIP Signups'!H$5:H$204,MATCH(ROWS($A$5:A14),'VIP Signups'!$K$5:$K$204,0)),"")</x:f>
      </x:c>
    </x:row>
    <x:row r="15">
      <x:c r="A15" s="18" t="str">
        <x:f>IFERROR(INDEX('VIP Signups'!A$5:A$204,MATCH(ROWS($A$5:A15),'VIP Signups'!$K$5:$K$204,0)),"")</x:f>
      </x:c>
      <x:c r="B15" s="18" t="str">
        <x:f>IFERROR(INDEX('VIP Signups'!D$5:D$204,MATCH(ROWS($A$5:A15),'VIP Signups'!$K$5:$K$204,0)),"")</x:f>
      </x:c>
      <x:c r="C15" s="18" t="str">
        <x:f>IFERROR(INDEX('VIP Signups'!F$5:F$204,MATCH(ROWS($A$5:A15),'VIP Signups'!$K$5:$K$204,0)),"")</x:f>
      </x:c>
      <x:c r="D15" s="18" t="str">
        <x:f>IFERROR(INDEX('VIP Signups'!M$5:M$204,MATCH(ROWS($A$5:A15),'VIP Signups'!$K$5:$K$204,0)),"")</x:f>
      </x:c>
      <x:c r="E15" s="18" t="str">
        <x:f>IFERROR(INDEX('VIP Signups'!C$5:C$204,MATCH(ROWS($A$5:A15),'VIP Signups'!$K$5:$K$204,0)),"")</x:f>
      </x:c>
      <x:c r="F15" s="18" t="str">
        <x:f>IFERROR(INDEX('VIP Signups'!E$5:E$204,MATCH(ROWS($A$5:A15),'VIP Signups'!$K$5:$K$204,0)),"")</x:f>
      </x:c>
      <x:c r="G15" s="18" t="str">
        <x:f>IFERROR(INDEX('VIP Signups'!H$5:H$204,MATCH(ROWS($A$5:A15),'VIP Signups'!$K$5:$K$204,0)),"")</x:f>
      </x:c>
    </x:row>
    <x:row r="16">
      <x:c r="A16" s="18" t="str">
        <x:f>IFERROR(INDEX('VIP Signups'!A$5:A$204,MATCH(ROWS($A$5:A16),'VIP Signups'!$K$5:$K$204,0)),"")</x:f>
      </x:c>
      <x:c r="B16" s="18" t="str">
        <x:f>IFERROR(INDEX('VIP Signups'!D$5:D$204,MATCH(ROWS($A$5:A16),'VIP Signups'!$K$5:$K$204,0)),"")</x:f>
      </x:c>
      <x:c r="C16" s="18" t="str">
        <x:f>IFERROR(INDEX('VIP Signups'!F$5:F$204,MATCH(ROWS($A$5:A16),'VIP Signups'!$K$5:$K$204,0)),"")</x:f>
      </x:c>
      <x:c r="D16" s="18" t="str">
        <x:f>IFERROR(INDEX('VIP Signups'!M$5:M$204,MATCH(ROWS($A$5:A16),'VIP Signups'!$K$5:$K$204,0)),"")</x:f>
      </x:c>
      <x:c r="E16" s="18" t="str">
        <x:f>IFERROR(INDEX('VIP Signups'!C$5:C$204,MATCH(ROWS($A$5:A16),'VIP Signups'!$K$5:$K$204,0)),"")</x:f>
      </x:c>
      <x:c r="F16" s="18" t="str">
        <x:f>IFERROR(INDEX('VIP Signups'!E$5:E$204,MATCH(ROWS($A$5:A16),'VIP Signups'!$K$5:$K$204,0)),"")</x:f>
      </x:c>
      <x:c r="G16" s="18" t="str">
        <x:f>IFERROR(INDEX('VIP Signups'!H$5:H$204,MATCH(ROWS($A$5:A16),'VIP Signups'!$K$5:$K$204,0)),"")</x:f>
      </x:c>
    </x:row>
    <x:row r="17">
      <x:c r="A17" s="18" t="str">
        <x:f>IFERROR(INDEX('VIP Signups'!A$5:A$204,MATCH(ROWS($A$5:A17),'VIP Signups'!$K$5:$K$204,0)),"")</x:f>
      </x:c>
      <x:c r="B17" s="18" t="str">
        <x:f>IFERROR(INDEX('VIP Signups'!D$5:D$204,MATCH(ROWS($A$5:A17),'VIP Signups'!$K$5:$K$204,0)),"")</x:f>
      </x:c>
      <x:c r="C17" s="18" t="str">
        <x:f>IFERROR(INDEX('VIP Signups'!F$5:F$204,MATCH(ROWS($A$5:A17),'VIP Signups'!$K$5:$K$204,0)),"")</x:f>
      </x:c>
      <x:c r="D17" s="18" t="str">
        <x:f>IFERROR(INDEX('VIP Signups'!M$5:M$204,MATCH(ROWS($A$5:A17),'VIP Signups'!$K$5:$K$204,0)),"")</x:f>
      </x:c>
      <x:c r="E17" s="18" t="str">
        <x:f>IFERROR(INDEX('VIP Signups'!C$5:C$204,MATCH(ROWS($A$5:A17),'VIP Signups'!$K$5:$K$204,0)),"")</x:f>
      </x:c>
      <x:c r="F17" s="18" t="str">
        <x:f>IFERROR(INDEX('VIP Signups'!E$5:E$204,MATCH(ROWS($A$5:A17),'VIP Signups'!$K$5:$K$204,0)),"")</x:f>
      </x:c>
      <x:c r="G17" s="18" t="str">
        <x:f>IFERROR(INDEX('VIP Signups'!H$5:H$204,MATCH(ROWS($A$5:A17),'VIP Signups'!$K$5:$K$204,0)),"")</x:f>
      </x:c>
    </x:row>
    <x:row r="18">
      <x:c r="A18" s="18" t="str">
        <x:f>IFERROR(INDEX('VIP Signups'!A$5:A$204,MATCH(ROWS($A$5:A18),'VIP Signups'!$K$5:$K$204,0)),"")</x:f>
      </x:c>
      <x:c r="B18" s="18" t="str">
        <x:f>IFERROR(INDEX('VIP Signups'!D$5:D$204,MATCH(ROWS($A$5:A18),'VIP Signups'!$K$5:$K$204,0)),"")</x:f>
      </x:c>
      <x:c r="C18" s="18" t="str">
        <x:f>IFERROR(INDEX('VIP Signups'!F$5:F$204,MATCH(ROWS($A$5:A18),'VIP Signups'!$K$5:$K$204,0)),"")</x:f>
      </x:c>
      <x:c r="D18" s="18" t="str">
        <x:f>IFERROR(INDEX('VIP Signups'!M$5:M$204,MATCH(ROWS($A$5:A18),'VIP Signups'!$K$5:$K$204,0)),"")</x:f>
      </x:c>
      <x:c r="E18" s="18" t="str">
        <x:f>IFERROR(INDEX('VIP Signups'!C$5:C$204,MATCH(ROWS($A$5:A18),'VIP Signups'!$K$5:$K$204,0)),"")</x:f>
      </x:c>
      <x:c r="F18" s="18" t="str">
        <x:f>IFERROR(INDEX('VIP Signups'!E$5:E$204,MATCH(ROWS($A$5:A18),'VIP Signups'!$K$5:$K$204,0)),"")</x:f>
      </x:c>
      <x:c r="G18" s="18" t="str">
        <x:f>IFERROR(INDEX('VIP Signups'!H$5:H$204,MATCH(ROWS($A$5:A18),'VIP Signups'!$K$5:$K$204,0)),"")</x:f>
      </x:c>
    </x:row>
    <x:row r="19">
      <x:c r="A19" s="18" t="str">
        <x:f>IFERROR(INDEX('VIP Signups'!A$5:A$204,MATCH(ROWS($A$5:A19),'VIP Signups'!$K$5:$K$204,0)),"")</x:f>
      </x:c>
      <x:c r="B19" s="18" t="str">
        <x:f>IFERROR(INDEX('VIP Signups'!D$5:D$204,MATCH(ROWS($A$5:A19),'VIP Signups'!$K$5:$K$204,0)),"")</x:f>
      </x:c>
      <x:c r="C19" s="18" t="str">
        <x:f>IFERROR(INDEX('VIP Signups'!F$5:F$204,MATCH(ROWS($A$5:A19),'VIP Signups'!$K$5:$K$204,0)),"")</x:f>
      </x:c>
      <x:c r="D19" s="18" t="str">
        <x:f>IFERROR(INDEX('VIP Signups'!M$5:M$204,MATCH(ROWS($A$5:A19),'VIP Signups'!$K$5:$K$204,0)),"")</x:f>
      </x:c>
      <x:c r="E19" s="18" t="str">
        <x:f>IFERROR(INDEX('VIP Signups'!C$5:C$204,MATCH(ROWS($A$5:A19),'VIP Signups'!$K$5:$K$204,0)),"")</x:f>
      </x:c>
      <x:c r="F19" s="18" t="str">
        <x:f>IFERROR(INDEX('VIP Signups'!E$5:E$204,MATCH(ROWS($A$5:A19),'VIP Signups'!$K$5:$K$204,0)),"")</x:f>
      </x:c>
      <x:c r="G19" s="18" t="str">
        <x:f>IFERROR(INDEX('VIP Signups'!H$5:H$204,MATCH(ROWS($A$5:A19),'VIP Signups'!$K$5:$K$204,0)),"")</x:f>
      </x:c>
    </x:row>
    <x:row r="20">
      <x:c r="A20" s="18" t="str">
        <x:f>IFERROR(INDEX('VIP Signups'!A$5:A$204,MATCH(ROWS($A$5:A20),'VIP Signups'!$K$5:$K$204,0)),"")</x:f>
      </x:c>
      <x:c r="B20" s="18" t="str">
        <x:f>IFERROR(INDEX('VIP Signups'!D$5:D$204,MATCH(ROWS($A$5:A20),'VIP Signups'!$K$5:$K$204,0)),"")</x:f>
      </x:c>
      <x:c r="C20" s="18" t="str">
        <x:f>IFERROR(INDEX('VIP Signups'!F$5:F$204,MATCH(ROWS($A$5:A20),'VIP Signups'!$K$5:$K$204,0)),"")</x:f>
      </x:c>
      <x:c r="D20" s="18" t="str">
        <x:f>IFERROR(INDEX('VIP Signups'!M$5:M$204,MATCH(ROWS($A$5:A20),'VIP Signups'!$K$5:$K$204,0)),"")</x:f>
      </x:c>
      <x:c r="E20" s="18" t="str">
        <x:f>IFERROR(INDEX('VIP Signups'!C$5:C$204,MATCH(ROWS($A$5:A20),'VIP Signups'!$K$5:$K$204,0)),"")</x:f>
      </x:c>
      <x:c r="F20" s="18" t="str">
        <x:f>IFERROR(INDEX('VIP Signups'!E$5:E$204,MATCH(ROWS($A$5:A20),'VIP Signups'!$K$5:$K$204,0)),"")</x:f>
      </x:c>
      <x:c r="G20" s="18" t="str">
        <x:f>IFERROR(INDEX('VIP Signups'!H$5:H$204,MATCH(ROWS($A$5:A20),'VIP Signups'!$K$5:$K$204,0)),"")</x:f>
      </x:c>
    </x:row>
    <x:row r="21">
      <x:c r="A21" s="18" t="str">
        <x:f>IFERROR(INDEX('VIP Signups'!A$5:A$204,MATCH(ROWS($A$5:A21),'VIP Signups'!$K$5:$K$204,0)),"")</x:f>
      </x:c>
      <x:c r="B21" s="18" t="str">
        <x:f>IFERROR(INDEX('VIP Signups'!D$5:D$204,MATCH(ROWS($A$5:A21),'VIP Signups'!$K$5:$K$204,0)),"")</x:f>
      </x:c>
      <x:c r="C21" s="18" t="str">
        <x:f>IFERROR(INDEX('VIP Signups'!F$5:F$204,MATCH(ROWS($A$5:A21),'VIP Signups'!$K$5:$K$204,0)),"")</x:f>
      </x:c>
      <x:c r="D21" s="18" t="str">
        <x:f>IFERROR(INDEX('VIP Signups'!M$5:M$204,MATCH(ROWS($A$5:A21),'VIP Signups'!$K$5:$K$204,0)),"")</x:f>
      </x:c>
      <x:c r="E21" s="18" t="str">
        <x:f>IFERROR(INDEX('VIP Signups'!C$5:C$204,MATCH(ROWS($A$5:A21),'VIP Signups'!$K$5:$K$204,0)),"")</x:f>
      </x:c>
      <x:c r="F21" s="18" t="str">
        <x:f>IFERROR(INDEX('VIP Signups'!E$5:E$204,MATCH(ROWS($A$5:A21),'VIP Signups'!$K$5:$K$204,0)),"")</x:f>
      </x:c>
      <x:c r="G21" s="18" t="str">
        <x:f>IFERROR(INDEX('VIP Signups'!H$5:H$204,MATCH(ROWS($A$5:A21),'VIP Signups'!$K$5:$K$204,0)),"")</x:f>
      </x:c>
    </x:row>
    <x:row r="22">
      <x:c r="A22" s="18" t="str">
        <x:f>IFERROR(INDEX('VIP Signups'!A$5:A$204,MATCH(ROWS($A$5:A22),'VIP Signups'!$K$5:$K$204,0)),"")</x:f>
      </x:c>
      <x:c r="B22" s="18" t="str">
        <x:f>IFERROR(INDEX('VIP Signups'!D$5:D$204,MATCH(ROWS($A$5:A22),'VIP Signups'!$K$5:$K$204,0)),"")</x:f>
      </x:c>
      <x:c r="C22" s="18" t="str">
        <x:f>IFERROR(INDEX('VIP Signups'!F$5:F$204,MATCH(ROWS($A$5:A22),'VIP Signups'!$K$5:$K$204,0)),"")</x:f>
      </x:c>
      <x:c r="D22" s="18" t="str">
        <x:f>IFERROR(INDEX('VIP Signups'!M$5:M$204,MATCH(ROWS($A$5:A22),'VIP Signups'!$K$5:$K$204,0)),"")</x:f>
      </x:c>
      <x:c r="E22" s="18" t="str">
        <x:f>IFERROR(INDEX('VIP Signups'!C$5:C$204,MATCH(ROWS($A$5:A22),'VIP Signups'!$K$5:$K$204,0)),"")</x:f>
      </x:c>
      <x:c r="F22" s="18" t="str">
        <x:f>IFERROR(INDEX('VIP Signups'!E$5:E$204,MATCH(ROWS($A$5:A22),'VIP Signups'!$K$5:$K$204,0)),"")</x:f>
      </x:c>
      <x:c r="G22" s="18" t="str">
        <x:f>IFERROR(INDEX('VIP Signups'!H$5:H$204,MATCH(ROWS($A$5:A22),'VIP Signups'!$K$5:$K$204,0)),"")</x:f>
      </x:c>
    </x:row>
    <x:row r="23">
      <x:c r="A23" s="18" t="str">
        <x:f>IFERROR(INDEX('VIP Signups'!A$5:A$204,MATCH(ROWS($A$5:A23),'VIP Signups'!$K$5:$K$204,0)),"")</x:f>
      </x:c>
      <x:c r="B23" s="18" t="str">
        <x:f>IFERROR(INDEX('VIP Signups'!D$5:D$204,MATCH(ROWS($A$5:A23),'VIP Signups'!$K$5:$K$204,0)),"")</x:f>
      </x:c>
      <x:c r="C23" s="18" t="str">
        <x:f>IFERROR(INDEX('VIP Signups'!F$5:F$204,MATCH(ROWS($A$5:A23),'VIP Signups'!$K$5:$K$204,0)),"")</x:f>
      </x:c>
      <x:c r="D23" s="18" t="str">
        <x:f>IFERROR(INDEX('VIP Signups'!M$5:M$204,MATCH(ROWS($A$5:A23),'VIP Signups'!$K$5:$K$204,0)),"")</x:f>
      </x:c>
      <x:c r="E23" s="18" t="str">
        <x:f>IFERROR(INDEX('VIP Signups'!C$5:C$204,MATCH(ROWS($A$5:A23),'VIP Signups'!$K$5:$K$204,0)),"")</x:f>
      </x:c>
      <x:c r="F23" s="18" t="str">
        <x:f>IFERROR(INDEX('VIP Signups'!E$5:E$204,MATCH(ROWS($A$5:A23),'VIP Signups'!$K$5:$K$204,0)),"")</x:f>
      </x:c>
      <x:c r="G23" s="18" t="str">
        <x:f>IFERROR(INDEX('VIP Signups'!H$5:H$204,MATCH(ROWS($A$5:A23),'VIP Signups'!$K$5:$K$204,0)),"")</x:f>
      </x:c>
    </x:row>
    <x:row r="24">
      <x:c r="A24" s="18" t="str">
        <x:f>IFERROR(INDEX('VIP Signups'!A$5:A$204,MATCH(ROWS($A$5:A24),'VIP Signups'!$K$5:$K$204,0)),"")</x:f>
      </x:c>
      <x:c r="B24" s="18" t="str">
        <x:f>IFERROR(INDEX('VIP Signups'!D$5:D$204,MATCH(ROWS($A$5:A24),'VIP Signups'!$K$5:$K$204,0)),"")</x:f>
      </x:c>
      <x:c r="C24" s="18" t="str">
        <x:f>IFERROR(INDEX('VIP Signups'!F$5:F$204,MATCH(ROWS($A$5:A24),'VIP Signups'!$K$5:$K$204,0)),"")</x:f>
      </x:c>
      <x:c r="D24" s="18" t="str">
        <x:f>IFERROR(INDEX('VIP Signups'!M$5:M$204,MATCH(ROWS($A$5:A24),'VIP Signups'!$K$5:$K$204,0)),"")</x:f>
      </x:c>
      <x:c r="E24" s="18" t="str">
        <x:f>IFERROR(INDEX('VIP Signups'!C$5:C$204,MATCH(ROWS($A$5:A24),'VIP Signups'!$K$5:$K$204,0)),"")</x:f>
      </x:c>
      <x:c r="F24" s="18" t="str">
        <x:f>IFERROR(INDEX('VIP Signups'!E$5:E$204,MATCH(ROWS($A$5:A24),'VIP Signups'!$K$5:$K$204,0)),"")</x:f>
      </x:c>
      <x:c r="G24" s="18" t="str">
        <x:f>IFERROR(INDEX('VIP Signups'!H$5:H$204,MATCH(ROWS($A$5:A24),'VIP Signups'!$K$5:$K$204,0)),"")</x:f>
      </x:c>
    </x:row>
    <x:row r="25">
      <x:c r="A25" s="18" t="str">
        <x:f>IFERROR(INDEX('VIP Signups'!A$5:A$204,MATCH(ROWS($A$5:A25),'VIP Signups'!$K$5:$K$204,0)),"")</x:f>
      </x:c>
      <x:c r="B25" s="18" t="str">
        <x:f>IFERROR(INDEX('VIP Signups'!D$5:D$204,MATCH(ROWS($A$5:A25),'VIP Signups'!$K$5:$K$204,0)),"")</x:f>
      </x:c>
      <x:c r="C25" s="18" t="str">
        <x:f>IFERROR(INDEX('VIP Signups'!F$5:F$204,MATCH(ROWS($A$5:A25),'VIP Signups'!$K$5:$K$204,0)),"")</x:f>
      </x:c>
      <x:c r="D25" s="18" t="str">
        <x:f>IFERROR(INDEX('VIP Signups'!M$5:M$204,MATCH(ROWS($A$5:A25),'VIP Signups'!$K$5:$K$204,0)),"")</x:f>
      </x:c>
      <x:c r="E25" s="18" t="str">
        <x:f>IFERROR(INDEX('VIP Signups'!C$5:C$204,MATCH(ROWS($A$5:A25),'VIP Signups'!$K$5:$K$204,0)),"")</x:f>
      </x:c>
      <x:c r="F25" s="18" t="str">
        <x:f>IFERROR(INDEX('VIP Signups'!E$5:E$204,MATCH(ROWS($A$5:A25),'VIP Signups'!$K$5:$K$204,0)),"")</x:f>
      </x:c>
      <x:c r="G25" s="18" t="str">
        <x:f>IFERROR(INDEX('VIP Signups'!H$5:H$204,MATCH(ROWS($A$5:A25),'VIP Signups'!$K$5:$K$204,0)),"")</x:f>
      </x:c>
    </x:row>
    <x:row r="26">
      <x:c r="A26" s="18" t="str">
        <x:f>IFERROR(INDEX('VIP Signups'!A$5:A$204,MATCH(ROWS($A$5:A26),'VIP Signups'!$K$5:$K$204,0)),"")</x:f>
      </x:c>
      <x:c r="B26" s="18" t="str">
        <x:f>IFERROR(INDEX('VIP Signups'!D$5:D$204,MATCH(ROWS($A$5:A26),'VIP Signups'!$K$5:$K$204,0)),"")</x:f>
      </x:c>
      <x:c r="C26" s="18" t="str">
        <x:f>IFERROR(INDEX('VIP Signups'!F$5:F$204,MATCH(ROWS($A$5:A26),'VIP Signups'!$K$5:$K$204,0)),"")</x:f>
      </x:c>
      <x:c r="D26" s="18" t="str">
        <x:f>IFERROR(INDEX('VIP Signups'!M$5:M$204,MATCH(ROWS($A$5:A26),'VIP Signups'!$K$5:$K$204,0)),"")</x:f>
      </x:c>
      <x:c r="E26" s="18" t="str">
        <x:f>IFERROR(INDEX('VIP Signups'!C$5:C$204,MATCH(ROWS($A$5:A26),'VIP Signups'!$K$5:$K$204,0)),"")</x:f>
      </x:c>
      <x:c r="F26" s="18" t="str">
        <x:f>IFERROR(INDEX('VIP Signups'!E$5:E$204,MATCH(ROWS($A$5:A26),'VIP Signups'!$K$5:$K$204,0)),"")</x:f>
      </x:c>
      <x:c r="G26" s="18" t="str">
        <x:f>IFERROR(INDEX('VIP Signups'!H$5:H$204,MATCH(ROWS($A$5:A26),'VIP Signups'!$K$5:$K$204,0)),"")</x:f>
      </x:c>
    </x:row>
    <x:row r="27">
      <x:c r="A27" s="18" t="str">
        <x:f>IFERROR(INDEX('VIP Signups'!A$5:A$204,MATCH(ROWS($A$5:A27),'VIP Signups'!$K$5:$K$204,0)),"")</x:f>
      </x:c>
      <x:c r="B27" s="18" t="str">
        <x:f>IFERROR(INDEX('VIP Signups'!D$5:D$204,MATCH(ROWS($A$5:A27),'VIP Signups'!$K$5:$K$204,0)),"")</x:f>
      </x:c>
      <x:c r="C27" s="18" t="str">
        <x:f>IFERROR(INDEX('VIP Signups'!F$5:F$204,MATCH(ROWS($A$5:A27),'VIP Signups'!$K$5:$K$204,0)),"")</x:f>
      </x:c>
      <x:c r="D27" s="18" t="str">
        <x:f>IFERROR(INDEX('VIP Signups'!M$5:M$204,MATCH(ROWS($A$5:A27),'VIP Signups'!$K$5:$K$204,0)),"")</x:f>
      </x:c>
      <x:c r="E27" s="18" t="str">
        <x:f>IFERROR(INDEX('VIP Signups'!C$5:C$204,MATCH(ROWS($A$5:A27),'VIP Signups'!$K$5:$K$204,0)),"")</x:f>
      </x:c>
      <x:c r="F27" s="18" t="str">
        <x:f>IFERROR(INDEX('VIP Signups'!E$5:E$204,MATCH(ROWS($A$5:A27),'VIP Signups'!$K$5:$K$204,0)),"")</x:f>
      </x:c>
      <x:c r="G27" s="18" t="str">
        <x:f>IFERROR(INDEX('VIP Signups'!H$5:H$204,MATCH(ROWS($A$5:A27),'VIP Signups'!$K$5:$K$204,0)),"")</x:f>
      </x:c>
    </x:row>
    <x:row r="28">
      <x:c r="A28" s="18" t="str">
        <x:f>IFERROR(INDEX('VIP Signups'!A$5:A$204,MATCH(ROWS($A$5:A28),'VIP Signups'!$K$5:$K$204,0)),"")</x:f>
      </x:c>
      <x:c r="B28" s="18" t="str">
        <x:f>IFERROR(INDEX('VIP Signups'!D$5:D$204,MATCH(ROWS($A$5:A28),'VIP Signups'!$K$5:$K$204,0)),"")</x:f>
      </x:c>
      <x:c r="C28" s="18" t="str">
        <x:f>IFERROR(INDEX('VIP Signups'!F$5:F$204,MATCH(ROWS($A$5:A28),'VIP Signups'!$K$5:$K$204,0)),"")</x:f>
      </x:c>
      <x:c r="D28" s="18" t="str">
        <x:f>IFERROR(INDEX('VIP Signups'!M$5:M$204,MATCH(ROWS($A$5:A28),'VIP Signups'!$K$5:$K$204,0)),"")</x:f>
      </x:c>
      <x:c r="E28" s="18" t="str">
        <x:f>IFERROR(INDEX('VIP Signups'!C$5:C$204,MATCH(ROWS($A$5:A28),'VIP Signups'!$K$5:$K$204,0)),"")</x:f>
      </x:c>
      <x:c r="F28" s="18" t="str">
        <x:f>IFERROR(INDEX('VIP Signups'!E$5:E$204,MATCH(ROWS($A$5:A28),'VIP Signups'!$K$5:$K$204,0)),"")</x:f>
      </x:c>
      <x:c r="G28" s="18" t="str">
        <x:f>IFERROR(INDEX('VIP Signups'!H$5:H$204,MATCH(ROWS($A$5:A28),'VIP Signups'!$K$5:$K$204,0)),"")</x:f>
      </x:c>
    </x:row>
    <x:row r="29">
      <x:c r="A29" s="18" t="str">
        <x:f>IFERROR(INDEX('VIP Signups'!A$5:A$204,MATCH(ROWS($A$5:A29),'VIP Signups'!$K$5:$K$204,0)),"")</x:f>
      </x:c>
      <x:c r="B29" s="18" t="str">
        <x:f>IFERROR(INDEX('VIP Signups'!D$5:D$204,MATCH(ROWS($A$5:A29),'VIP Signups'!$K$5:$K$204,0)),"")</x:f>
      </x:c>
      <x:c r="C29" s="18" t="str">
        <x:f>IFERROR(INDEX('VIP Signups'!F$5:F$204,MATCH(ROWS($A$5:A29),'VIP Signups'!$K$5:$K$204,0)),"")</x:f>
      </x:c>
      <x:c r="D29" s="18" t="str">
        <x:f>IFERROR(INDEX('VIP Signups'!M$5:M$204,MATCH(ROWS($A$5:A29),'VIP Signups'!$K$5:$K$204,0)),"")</x:f>
      </x:c>
      <x:c r="E29" s="18" t="str">
        <x:f>IFERROR(INDEX('VIP Signups'!C$5:C$204,MATCH(ROWS($A$5:A29),'VIP Signups'!$K$5:$K$204,0)),"")</x:f>
      </x:c>
      <x:c r="F29" s="18" t="str">
        <x:f>IFERROR(INDEX('VIP Signups'!E$5:E$204,MATCH(ROWS($A$5:A29),'VIP Signups'!$K$5:$K$204,0)),"")</x:f>
      </x:c>
      <x:c r="G29" s="18" t="str">
        <x:f>IFERROR(INDEX('VIP Signups'!H$5:H$204,MATCH(ROWS($A$5:A29),'VIP Signups'!$K$5:$K$204,0)),"")</x:f>
      </x:c>
    </x:row>
    <x:row r="30">
      <x:c r="A30" s="18" t="str">
        <x:f>IFERROR(INDEX('VIP Signups'!A$5:A$204,MATCH(ROWS($A$5:A30),'VIP Signups'!$K$5:$K$204,0)),"")</x:f>
      </x:c>
      <x:c r="B30" s="18" t="str">
        <x:f>IFERROR(INDEX('VIP Signups'!D$5:D$204,MATCH(ROWS($A$5:A30),'VIP Signups'!$K$5:$K$204,0)),"")</x:f>
      </x:c>
      <x:c r="C30" s="18" t="str">
        <x:f>IFERROR(INDEX('VIP Signups'!F$5:F$204,MATCH(ROWS($A$5:A30),'VIP Signups'!$K$5:$K$204,0)),"")</x:f>
      </x:c>
      <x:c r="D30" s="18" t="str">
        <x:f>IFERROR(INDEX('VIP Signups'!M$5:M$204,MATCH(ROWS($A$5:A30),'VIP Signups'!$K$5:$K$204,0)),"")</x:f>
      </x:c>
      <x:c r="E30" s="18" t="str">
        <x:f>IFERROR(INDEX('VIP Signups'!C$5:C$204,MATCH(ROWS($A$5:A30),'VIP Signups'!$K$5:$K$204,0)),"")</x:f>
      </x:c>
      <x:c r="F30" s="18" t="str">
        <x:f>IFERROR(INDEX('VIP Signups'!E$5:E$204,MATCH(ROWS($A$5:A30),'VIP Signups'!$K$5:$K$204,0)),"")</x:f>
      </x:c>
      <x:c r="G30" s="18" t="str">
        <x:f>IFERROR(INDEX('VIP Signups'!H$5:H$204,MATCH(ROWS($A$5:A30),'VIP Signups'!$K$5:$K$204,0)),"")</x:f>
      </x:c>
    </x:row>
    <x:row r="31">
      <x:c r="A31" s="18" t="str">
        <x:f>IFERROR(INDEX('VIP Signups'!A$5:A$204,MATCH(ROWS($A$5:A31),'VIP Signups'!$K$5:$K$204,0)),"")</x:f>
      </x:c>
      <x:c r="B31" s="18" t="str">
        <x:f>IFERROR(INDEX('VIP Signups'!D$5:D$204,MATCH(ROWS($A$5:A31),'VIP Signups'!$K$5:$K$204,0)),"")</x:f>
      </x:c>
      <x:c r="C31" s="18" t="str">
        <x:f>IFERROR(INDEX('VIP Signups'!F$5:F$204,MATCH(ROWS($A$5:A31),'VIP Signups'!$K$5:$K$204,0)),"")</x:f>
      </x:c>
      <x:c r="D31" s="18" t="str">
        <x:f>IFERROR(INDEX('VIP Signups'!M$5:M$204,MATCH(ROWS($A$5:A31),'VIP Signups'!$K$5:$K$204,0)),"")</x:f>
      </x:c>
      <x:c r="E31" s="18" t="str">
        <x:f>IFERROR(INDEX('VIP Signups'!C$5:C$204,MATCH(ROWS($A$5:A31),'VIP Signups'!$K$5:$K$204,0)),"")</x:f>
      </x:c>
      <x:c r="F31" s="18" t="str">
        <x:f>IFERROR(INDEX('VIP Signups'!E$5:E$204,MATCH(ROWS($A$5:A31),'VIP Signups'!$K$5:$K$204,0)),"")</x:f>
      </x:c>
      <x:c r="G31" s="18" t="str">
        <x:f>IFERROR(INDEX('VIP Signups'!H$5:H$204,MATCH(ROWS($A$5:A31),'VIP Signups'!$K$5:$K$204,0)),"")</x:f>
      </x:c>
    </x:row>
    <x:row r="32">
      <x:c r="A32" s="18" t="str">
        <x:f>IFERROR(INDEX('VIP Signups'!A$5:A$204,MATCH(ROWS($A$5:A32),'VIP Signups'!$K$5:$K$204,0)),"")</x:f>
      </x:c>
      <x:c r="B32" s="18" t="str">
        <x:f>IFERROR(INDEX('VIP Signups'!D$5:D$204,MATCH(ROWS($A$5:A32),'VIP Signups'!$K$5:$K$204,0)),"")</x:f>
      </x:c>
      <x:c r="C32" s="18" t="str">
        <x:f>IFERROR(INDEX('VIP Signups'!F$5:F$204,MATCH(ROWS($A$5:A32),'VIP Signups'!$K$5:$K$204,0)),"")</x:f>
      </x:c>
      <x:c r="D32" s="18" t="str">
        <x:f>IFERROR(INDEX('VIP Signups'!M$5:M$204,MATCH(ROWS($A$5:A32),'VIP Signups'!$K$5:$K$204,0)),"")</x:f>
      </x:c>
      <x:c r="E32" s="18" t="str">
        <x:f>IFERROR(INDEX('VIP Signups'!C$5:C$204,MATCH(ROWS($A$5:A32),'VIP Signups'!$K$5:$K$204,0)),"")</x:f>
      </x:c>
      <x:c r="F32" s="18" t="str">
        <x:f>IFERROR(INDEX('VIP Signups'!E$5:E$204,MATCH(ROWS($A$5:A32),'VIP Signups'!$K$5:$K$204,0)),"")</x:f>
      </x:c>
      <x:c r="G32" s="18" t="str">
        <x:f>IFERROR(INDEX('VIP Signups'!H$5:H$204,MATCH(ROWS($A$5:A32),'VIP Signups'!$K$5:$K$204,0)),"")</x:f>
      </x:c>
    </x:row>
    <x:row r="33">
      <x:c r="A33" s="18" t="str">
        <x:f>IFERROR(INDEX('VIP Signups'!A$5:A$204,MATCH(ROWS($A$5:A33),'VIP Signups'!$K$5:$K$204,0)),"")</x:f>
      </x:c>
      <x:c r="B33" s="18" t="str">
        <x:f>IFERROR(INDEX('VIP Signups'!D$5:D$204,MATCH(ROWS($A$5:A33),'VIP Signups'!$K$5:$K$204,0)),"")</x:f>
      </x:c>
      <x:c r="C33" s="18" t="str">
        <x:f>IFERROR(INDEX('VIP Signups'!F$5:F$204,MATCH(ROWS($A$5:A33),'VIP Signups'!$K$5:$K$204,0)),"")</x:f>
      </x:c>
      <x:c r="D33" s="18" t="str">
        <x:f>IFERROR(INDEX('VIP Signups'!M$5:M$204,MATCH(ROWS($A$5:A33),'VIP Signups'!$K$5:$K$204,0)),"")</x:f>
      </x:c>
      <x:c r="E33" s="18" t="str">
        <x:f>IFERROR(INDEX('VIP Signups'!C$5:C$204,MATCH(ROWS($A$5:A33),'VIP Signups'!$K$5:$K$204,0)),"")</x:f>
      </x:c>
      <x:c r="F33" s="18" t="str">
        <x:f>IFERROR(INDEX('VIP Signups'!E$5:E$204,MATCH(ROWS($A$5:A33),'VIP Signups'!$K$5:$K$204,0)),"")</x:f>
      </x:c>
      <x:c r="G33" s="18" t="str">
        <x:f>IFERROR(INDEX('VIP Signups'!H$5:H$204,MATCH(ROWS($A$5:A33),'VIP Signups'!$K$5:$K$204,0)),"")</x:f>
      </x:c>
    </x:row>
    <x:row r="34">
      <x:c r="A34" s="18" t="str">
        <x:f>IFERROR(INDEX('VIP Signups'!A$5:A$204,MATCH(ROWS($A$5:A34),'VIP Signups'!$K$5:$K$204,0)),"")</x:f>
      </x:c>
      <x:c r="B34" s="18" t="str">
        <x:f>IFERROR(INDEX('VIP Signups'!D$5:D$204,MATCH(ROWS($A$5:A34),'VIP Signups'!$K$5:$K$204,0)),"")</x:f>
      </x:c>
      <x:c r="C34" s="18" t="str">
        <x:f>IFERROR(INDEX('VIP Signups'!F$5:F$204,MATCH(ROWS($A$5:A34),'VIP Signups'!$K$5:$K$204,0)),"")</x:f>
      </x:c>
      <x:c r="D34" s="18" t="str">
        <x:f>IFERROR(INDEX('VIP Signups'!M$5:M$204,MATCH(ROWS($A$5:A34),'VIP Signups'!$K$5:$K$204,0)),"")</x:f>
      </x:c>
      <x:c r="E34" s="18" t="str">
        <x:f>IFERROR(INDEX('VIP Signups'!C$5:C$204,MATCH(ROWS($A$5:A34),'VIP Signups'!$K$5:$K$204,0)),"")</x:f>
      </x:c>
      <x:c r="F34" s="18" t="str">
        <x:f>IFERROR(INDEX('VIP Signups'!E$5:E$204,MATCH(ROWS($A$5:A34),'VIP Signups'!$K$5:$K$204,0)),"")</x:f>
      </x:c>
      <x:c r="G34" s="18" t="str">
        <x:f>IFERROR(INDEX('VIP Signups'!H$5:H$204,MATCH(ROWS($A$5:A34),'VIP Signups'!$K$5:$K$204,0)),"")</x:f>
      </x:c>
    </x:row>
    <x:row r="35">
      <x:c r="A35" s="18" t="str">
        <x:f>IFERROR(INDEX('VIP Signups'!A$5:A$204,MATCH(ROWS($A$5:A35),'VIP Signups'!$K$5:$K$204,0)),"")</x:f>
      </x:c>
      <x:c r="B35" s="18" t="str">
        <x:f>IFERROR(INDEX('VIP Signups'!D$5:D$204,MATCH(ROWS($A$5:A35),'VIP Signups'!$K$5:$K$204,0)),"")</x:f>
      </x:c>
      <x:c r="C35" s="18" t="str">
        <x:f>IFERROR(INDEX('VIP Signups'!F$5:F$204,MATCH(ROWS($A$5:A35),'VIP Signups'!$K$5:$K$204,0)),"")</x:f>
      </x:c>
      <x:c r="D35" s="18" t="str">
        <x:f>IFERROR(INDEX('VIP Signups'!M$5:M$204,MATCH(ROWS($A$5:A35),'VIP Signups'!$K$5:$K$204,0)),"")</x:f>
      </x:c>
      <x:c r="E35" s="18" t="str">
        <x:f>IFERROR(INDEX('VIP Signups'!C$5:C$204,MATCH(ROWS($A$5:A35),'VIP Signups'!$K$5:$K$204,0)),"")</x:f>
      </x:c>
      <x:c r="F35" s="18" t="str">
        <x:f>IFERROR(INDEX('VIP Signups'!E$5:E$204,MATCH(ROWS($A$5:A35),'VIP Signups'!$K$5:$K$204,0)),"")</x:f>
      </x:c>
      <x:c r="G35" s="18" t="str">
        <x:f>IFERROR(INDEX('VIP Signups'!H$5:H$204,MATCH(ROWS($A$5:A35),'VIP Signups'!$K$5:$K$204,0)),"")</x:f>
      </x:c>
    </x:row>
    <x:row r="36">
      <x:c r="A36" s="18" t="str">
        <x:f>IFERROR(INDEX('VIP Signups'!A$5:A$204,MATCH(ROWS($A$5:A36),'VIP Signups'!$K$5:$K$204,0)),"")</x:f>
      </x:c>
      <x:c r="B36" s="18" t="str">
        <x:f>IFERROR(INDEX('VIP Signups'!D$5:D$204,MATCH(ROWS($A$5:A36),'VIP Signups'!$K$5:$K$204,0)),"")</x:f>
      </x:c>
      <x:c r="C36" s="18" t="str">
        <x:f>IFERROR(INDEX('VIP Signups'!F$5:F$204,MATCH(ROWS($A$5:A36),'VIP Signups'!$K$5:$K$204,0)),"")</x:f>
      </x:c>
      <x:c r="D36" s="18" t="str">
        <x:f>IFERROR(INDEX('VIP Signups'!M$5:M$204,MATCH(ROWS($A$5:A36),'VIP Signups'!$K$5:$K$204,0)),"")</x:f>
      </x:c>
      <x:c r="E36" s="18" t="str">
        <x:f>IFERROR(INDEX('VIP Signups'!C$5:C$204,MATCH(ROWS($A$5:A36),'VIP Signups'!$K$5:$K$204,0)),"")</x:f>
      </x:c>
      <x:c r="F36" s="18" t="str">
        <x:f>IFERROR(INDEX('VIP Signups'!E$5:E$204,MATCH(ROWS($A$5:A36),'VIP Signups'!$K$5:$K$204,0)),"")</x:f>
      </x:c>
      <x:c r="G36" s="18" t="str">
        <x:f>IFERROR(INDEX('VIP Signups'!H$5:H$204,MATCH(ROWS($A$5:A36),'VIP Signups'!$K$5:$K$204,0)),"")</x:f>
      </x:c>
    </x:row>
    <x:row r="37">
      <x:c r="A37" s="18" t="str">
        <x:f>IFERROR(INDEX('VIP Signups'!A$5:A$204,MATCH(ROWS($A$5:A37),'VIP Signups'!$K$5:$K$204,0)),"")</x:f>
      </x:c>
      <x:c r="B37" s="18" t="str">
        <x:f>IFERROR(INDEX('VIP Signups'!D$5:D$204,MATCH(ROWS($A$5:A37),'VIP Signups'!$K$5:$K$204,0)),"")</x:f>
      </x:c>
      <x:c r="C37" s="18" t="str">
        <x:f>IFERROR(INDEX('VIP Signups'!F$5:F$204,MATCH(ROWS($A$5:A37),'VIP Signups'!$K$5:$K$204,0)),"")</x:f>
      </x:c>
      <x:c r="D37" s="18" t="str">
        <x:f>IFERROR(INDEX('VIP Signups'!M$5:M$204,MATCH(ROWS($A$5:A37),'VIP Signups'!$K$5:$K$204,0)),"")</x:f>
      </x:c>
      <x:c r="E37" s="18" t="str">
        <x:f>IFERROR(INDEX('VIP Signups'!C$5:C$204,MATCH(ROWS($A$5:A37),'VIP Signups'!$K$5:$K$204,0)),"")</x:f>
      </x:c>
      <x:c r="F37" s="18" t="str">
        <x:f>IFERROR(INDEX('VIP Signups'!E$5:E$204,MATCH(ROWS($A$5:A37),'VIP Signups'!$K$5:$K$204,0)),"")</x:f>
      </x:c>
      <x:c r="G37" s="18" t="str">
        <x:f>IFERROR(INDEX('VIP Signups'!H$5:H$204,MATCH(ROWS($A$5:A37),'VIP Signups'!$K$5:$K$204,0)),"")</x:f>
      </x:c>
    </x:row>
    <x:row r="38">
      <x:c r="A38" s="18" t="str">
        <x:f>IFERROR(INDEX('VIP Signups'!A$5:A$204,MATCH(ROWS($A$5:A38),'VIP Signups'!$K$5:$K$204,0)),"")</x:f>
      </x:c>
      <x:c r="B38" s="18" t="str">
        <x:f>IFERROR(INDEX('VIP Signups'!D$5:D$204,MATCH(ROWS($A$5:A38),'VIP Signups'!$K$5:$K$204,0)),"")</x:f>
      </x:c>
      <x:c r="C38" s="18" t="str">
        <x:f>IFERROR(INDEX('VIP Signups'!F$5:F$204,MATCH(ROWS($A$5:A38),'VIP Signups'!$K$5:$K$204,0)),"")</x:f>
      </x:c>
      <x:c r="D38" s="18" t="str">
        <x:f>IFERROR(INDEX('VIP Signups'!M$5:M$204,MATCH(ROWS($A$5:A38),'VIP Signups'!$K$5:$K$204,0)),"")</x:f>
      </x:c>
      <x:c r="E38" s="18" t="str">
        <x:f>IFERROR(INDEX('VIP Signups'!C$5:C$204,MATCH(ROWS($A$5:A38),'VIP Signups'!$K$5:$K$204,0)),"")</x:f>
      </x:c>
      <x:c r="F38" s="18" t="str">
        <x:f>IFERROR(INDEX('VIP Signups'!E$5:E$204,MATCH(ROWS($A$5:A38),'VIP Signups'!$K$5:$K$204,0)),"")</x:f>
      </x:c>
      <x:c r="G38" s="18" t="str">
        <x:f>IFERROR(INDEX('VIP Signups'!H$5:H$204,MATCH(ROWS($A$5:A38),'VIP Signups'!$K$5:$K$204,0)),"")</x:f>
      </x:c>
    </x:row>
    <x:row r="39">
      <x:c r="A39" s="18" t="str">
        <x:f>IFERROR(INDEX('VIP Signups'!A$5:A$204,MATCH(ROWS($A$5:A39),'VIP Signups'!$K$5:$K$204,0)),"")</x:f>
      </x:c>
      <x:c r="B39" s="18" t="str">
        <x:f>IFERROR(INDEX('VIP Signups'!D$5:D$204,MATCH(ROWS($A$5:A39),'VIP Signups'!$K$5:$K$204,0)),"")</x:f>
      </x:c>
      <x:c r="C39" s="18" t="str">
        <x:f>IFERROR(INDEX('VIP Signups'!F$5:F$204,MATCH(ROWS($A$5:A39),'VIP Signups'!$K$5:$K$204,0)),"")</x:f>
      </x:c>
      <x:c r="D39" s="18" t="str">
        <x:f>IFERROR(INDEX('VIP Signups'!M$5:M$204,MATCH(ROWS($A$5:A39),'VIP Signups'!$K$5:$K$204,0)),"")</x:f>
      </x:c>
      <x:c r="E39" s="18" t="str">
        <x:f>IFERROR(INDEX('VIP Signups'!C$5:C$204,MATCH(ROWS($A$5:A39),'VIP Signups'!$K$5:$K$204,0)),"")</x:f>
      </x:c>
      <x:c r="F39" s="18" t="str">
        <x:f>IFERROR(INDEX('VIP Signups'!E$5:E$204,MATCH(ROWS($A$5:A39),'VIP Signups'!$K$5:$K$204,0)),"")</x:f>
      </x:c>
      <x:c r="G39" s="18" t="str">
        <x:f>IFERROR(INDEX('VIP Signups'!H$5:H$204,MATCH(ROWS($A$5:A39),'VIP Signups'!$K$5:$K$204,0)),"")</x:f>
      </x:c>
    </x:row>
    <x:row r="40">
      <x:c r="A40" s="18" t="str">
        <x:f>IFERROR(INDEX('VIP Signups'!A$5:A$204,MATCH(ROWS($A$5:A40),'VIP Signups'!$K$5:$K$204,0)),"")</x:f>
      </x:c>
      <x:c r="B40" s="18" t="str">
        <x:f>IFERROR(INDEX('VIP Signups'!D$5:D$204,MATCH(ROWS($A$5:A40),'VIP Signups'!$K$5:$K$204,0)),"")</x:f>
      </x:c>
      <x:c r="C40" s="18" t="str">
        <x:f>IFERROR(INDEX('VIP Signups'!F$5:F$204,MATCH(ROWS($A$5:A40),'VIP Signups'!$K$5:$K$204,0)),"")</x:f>
      </x:c>
      <x:c r="D40" s="18" t="str">
        <x:f>IFERROR(INDEX('VIP Signups'!M$5:M$204,MATCH(ROWS($A$5:A40),'VIP Signups'!$K$5:$K$204,0)),"")</x:f>
      </x:c>
      <x:c r="E40" s="18" t="str">
        <x:f>IFERROR(INDEX('VIP Signups'!C$5:C$204,MATCH(ROWS($A$5:A40),'VIP Signups'!$K$5:$K$204,0)),"")</x:f>
      </x:c>
      <x:c r="F40" s="18" t="str">
        <x:f>IFERROR(INDEX('VIP Signups'!E$5:E$204,MATCH(ROWS($A$5:A40),'VIP Signups'!$K$5:$K$204,0)),"")</x:f>
      </x:c>
      <x:c r="G40" s="18" t="str">
        <x:f>IFERROR(INDEX('VIP Signups'!H$5:H$204,MATCH(ROWS($A$5:A40),'VIP Signups'!$K$5:$K$204,0)),"")</x:f>
      </x:c>
    </x:row>
    <x:row r="41">
      <x:c r="A41" s="18" t="str">
        <x:f>IFERROR(INDEX('VIP Signups'!A$5:A$204,MATCH(ROWS($A$5:A41),'VIP Signups'!$K$5:$K$204,0)),"")</x:f>
      </x:c>
      <x:c r="B41" s="18" t="str">
        <x:f>IFERROR(INDEX('VIP Signups'!D$5:D$204,MATCH(ROWS($A$5:A41),'VIP Signups'!$K$5:$K$204,0)),"")</x:f>
      </x:c>
      <x:c r="C41" s="18" t="str">
        <x:f>IFERROR(INDEX('VIP Signups'!F$5:F$204,MATCH(ROWS($A$5:A41),'VIP Signups'!$K$5:$K$204,0)),"")</x:f>
      </x:c>
      <x:c r="D41" s="18" t="str">
        <x:f>IFERROR(INDEX('VIP Signups'!M$5:M$204,MATCH(ROWS($A$5:A41),'VIP Signups'!$K$5:$K$204,0)),"")</x:f>
      </x:c>
      <x:c r="E41" s="18" t="str">
        <x:f>IFERROR(INDEX('VIP Signups'!C$5:C$204,MATCH(ROWS($A$5:A41),'VIP Signups'!$K$5:$K$204,0)),"")</x:f>
      </x:c>
      <x:c r="F41" s="18" t="str">
        <x:f>IFERROR(INDEX('VIP Signups'!E$5:E$204,MATCH(ROWS($A$5:A41),'VIP Signups'!$K$5:$K$204,0)),"")</x:f>
      </x:c>
      <x:c r="G41" s="18" t="str">
        <x:f>IFERROR(INDEX('VIP Signups'!H$5:H$204,MATCH(ROWS($A$5:A41),'VIP Signups'!$K$5:$K$204,0)),"")</x:f>
      </x:c>
    </x:row>
    <x:row r="42">
      <x:c r="A42" s="18" t="str">
        <x:f>IFERROR(INDEX('VIP Signups'!A$5:A$204,MATCH(ROWS($A$5:A42),'VIP Signups'!$K$5:$K$204,0)),"")</x:f>
      </x:c>
      <x:c r="B42" s="18" t="str">
        <x:f>IFERROR(INDEX('VIP Signups'!D$5:D$204,MATCH(ROWS($A$5:A42),'VIP Signups'!$K$5:$K$204,0)),"")</x:f>
      </x:c>
      <x:c r="C42" s="18" t="str">
        <x:f>IFERROR(INDEX('VIP Signups'!F$5:F$204,MATCH(ROWS($A$5:A42),'VIP Signups'!$K$5:$K$204,0)),"")</x:f>
      </x:c>
      <x:c r="D42" s="18" t="str">
        <x:f>IFERROR(INDEX('VIP Signups'!M$5:M$204,MATCH(ROWS($A$5:A42),'VIP Signups'!$K$5:$K$204,0)),"")</x:f>
      </x:c>
      <x:c r="E42" s="18" t="str">
        <x:f>IFERROR(INDEX('VIP Signups'!C$5:C$204,MATCH(ROWS($A$5:A42),'VIP Signups'!$K$5:$K$204,0)),"")</x:f>
      </x:c>
      <x:c r="F42" s="18" t="str">
        <x:f>IFERROR(INDEX('VIP Signups'!E$5:E$204,MATCH(ROWS($A$5:A42),'VIP Signups'!$K$5:$K$204,0)),"")</x:f>
      </x:c>
      <x:c r="G42" s="18" t="str">
        <x:f>IFERROR(INDEX('VIP Signups'!H$5:H$204,MATCH(ROWS($A$5:A42),'VIP Signups'!$K$5:$K$204,0)),"")</x:f>
      </x:c>
    </x:row>
    <x:row r="43">
      <x:c r="A43" s="18" t="str">
        <x:f>IFERROR(INDEX('VIP Signups'!A$5:A$204,MATCH(ROWS($A$5:A43),'VIP Signups'!$K$5:$K$204,0)),"")</x:f>
      </x:c>
      <x:c r="B43" s="18" t="str">
        <x:f>IFERROR(INDEX('VIP Signups'!D$5:D$204,MATCH(ROWS($A$5:A43),'VIP Signups'!$K$5:$K$204,0)),"")</x:f>
      </x:c>
      <x:c r="C43" s="18" t="str">
        <x:f>IFERROR(INDEX('VIP Signups'!F$5:F$204,MATCH(ROWS($A$5:A43),'VIP Signups'!$K$5:$K$204,0)),"")</x:f>
      </x:c>
      <x:c r="D43" s="18" t="str">
        <x:f>IFERROR(INDEX('VIP Signups'!M$5:M$204,MATCH(ROWS($A$5:A43),'VIP Signups'!$K$5:$K$204,0)),"")</x:f>
      </x:c>
      <x:c r="E43" s="18" t="str">
        <x:f>IFERROR(INDEX('VIP Signups'!C$5:C$204,MATCH(ROWS($A$5:A43),'VIP Signups'!$K$5:$K$204,0)),"")</x:f>
      </x:c>
      <x:c r="F43" s="18" t="str">
        <x:f>IFERROR(INDEX('VIP Signups'!E$5:E$204,MATCH(ROWS($A$5:A43),'VIP Signups'!$K$5:$K$204,0)),"")</x:f>
      </x:c>
      <x:c r="G43" s="18" t="str">
        <x:f>IFERROR(INDEX('VIP Signups'!H$5:H$204,MATCH(ROWS($A$5:A43),'VIP Signups'!$K$5:$K$204,0)),"")</x:f>
      </x:c>
    </x:row>
    <x:row r="44">
      <x:c r="A44" s="18" t="str">
        <x:f>IFERROR(INDEX('VIP Signups'!A$5:A$204,MATCH(ROWS($A$5:A44),'VIP Signups'!$K$5:$K$204,0)),"")</x:f>
      </x:c>
      <x:c r="B44" s="18" t="str">
        <x:f>IFERROR(INDEX('VIP Signups'!D$5:D$204,MATCH(ROWS($A$5:A44),'VIP Signups'!$K$5:$K$204,0)),"")</x:f>
      </x:c>
      <x:c r="C44" s="18" t="str">
        <x:f>IFERROR(INDEX('VIP Signups'!F$5:F$204,MATCH(ROWS($A$5:A44),'VIP Signups'!$K$5:$K$204,0)),"")</x:f>
      </x:c>
      <x:c r="D44" s="18" t="str">
        <x:f>IFERROR(INDEX('VIP Signups'!M$5:M$204,MATCH(ROWS($A$5:A44),'VIP Signups'!$K$5:$K$204,0)),"")</x:f>
      </x:c>
      <x:c r="E44" s="18" t="str">
        <x:f>IFERROR(INDEX('VIP Signups'!C$5:C$204,MATCH(ROWS($A$5:A44),'VIP Signups'!$K$5:$K$204,0)),"")</x:f>
      </x:c>
      <x:c r="F44" s="18" t="str">
        <x:f>IFERROR(INDEX('VIP Signups'!E$5:E$204,MATCH(ROWS($A$5:A44),'VIP Signups'!$K$5:$K$204,0)),"")</x:f>
      </x:c>
      <x:c r="G44" s="18" t="str">
        <x:f>IFERROR(INDEX('VIP Signups'!H$5:H$204,MATCH(ROWS($A$5:A44),'VIP Signups'!$K$5:$K$204,0)),"")</x:f>
      </x:c>
    </x:row>
    <x:row r="45">
      <x:c r="A45" s="18" t="str">
        <x:f>IFERROR(INDEX('VIP Signups'!A$5:A$204,MATCH(ROWS($A$5:A45),'VIP Signups'!$K$5:$K$204,0)),"")</x:f>
      </x:c>
      <x:c r="B45" s="18" t="str">
        <x:f>IFERROR(INDEX('VIP Signups'!D$5:D$204,MATCH(ROWS($A$5:A45),'VIP Signups'!$K$5:$K$204,0)),"")</x:f>
      </x:c>
      <x:c r="C45" s="18" t="str">
        <x:f>IFERROR(INDEX('VIP Signups'!F$5:F$204,MATCH(ROWS($A$5:A45),'VIP Signups'!$K$5:$K$204,0)),"")</x:f>
      </x:c>
      <x:c r="D45" s="18" t="str">
        <x:f>IFERROR(INDEX('VIP Signups'!M$5:M$204,MATCH(ROWS($A$5:A45),'VIP Signups'!$K$5:$K$204,0)),"")</x:f>
      </x:c>
      <x:c r="E45" s="18" t="str">
        <x:f>IFERROR(INDEX('VIP Signups'!C$5:C$204,MATCH(ROWS($A$5:A45),'VIP Signups'!$K$5:$K$204,0)),"")</x:f>
      </x:c>
      <x:c r="F45" s="18" t="str">
        <x:f>IFERROR(INDEX('VIP Signups'!E$5:E$204,MATCH(ROWS($A$5:A45),'VIP Signups'!$K$5:$K$204,0)),"")</x:f>
      </x:c>
      <x:c r="G45" s="18" t="str">
        <x:f>IFERROR(INDEX('VIP Signups'!H$5:H$204,MATCH(ROWS($A$5:A45),'VIP Signups'!$K$5:$K$204,0)),"")</x:f>
      </x:c>
    </x:row>
    <x:row r="46">
      <x:c r="A46" s="18" t="str">
        <x:f>IFERROR(INDEX('VIP Signups'!A$5:A$204,MATCH(ROWS($A$5:A46),'VIP Signups'!$K$5:$K$204,0)),"")</x:f>
      </x:c>
      <x:c r="B46" s="18" t="str">
        <x:f>IFERROR(INDEX('VIP Signups'!D$5:D$204,MATCH(ROWS($A$5:A46),'VIP Signups'!$K$5:$K$204,0)),"")</x:f>
      </x:c>
      <x:c r="C46" s="18" t="str">
        <x:f>IFERROR(INDEX('VIP Signups'!F$5:F$204,MATCH(ROWS($A$5:A46),'VIP Signups'!$K$5:$K$204,0)),"")</x:f>
      </x:c>
      <x:c r="D46" s="18" t="str">
        <x:f>IFERROR(INDEX('VIP Signups'!M$5:M$204,MATCH(ROWS($A$5:A46),'VIP Signups'!$K$5:$K$204,0)),"")</x:f>
      </x:c>
      <x:c r="E46" s="18" t="str">
        <x:f>IFERROR(INDEX('VIP Signups'!C$5:C$204,MATCH(ROWS($A$5:A46),'VIP Signups'!$K$5:$K$204,0)),"")</x:f>
      </x:c>
      <x:c r="F46" s="18" t="str">
        <x:f>IFERROR(INDEX('VIP Signups'!E$5:E$204,MATCH(ROWS($A$5:A46),'VIP Signups'!$K$5:$K$204,0)),"")</x:f>
      </x:c>
      <x:c r="G46" s="18" t="str">
        <x:f>IFERROR(INDEX('VIP Signups'!H$5:H$204,MATCH(ROWS($A$5:A46),'VIP Signups'!$K$5:$K$204,0)),"")</x:f>
      </x:c>
    </x:row>
    <x:row r="47">
      <x:c r="A47" s="18" t="str">
        <x:f>IFERROR(INDEX('VIP Signups'!A$5:A$204,MATCH(ROWS($A$5:A47),'VIP Signups'!$K$5:$K$204,0)),"")</x:f>
      </x:c>
      <x:c r="B47" s="18" t="str">
        <x:f>IFERROR(INDEX('VIP Signups'!D$5:D$204,MATCH(ROWS($A$5:A47),'VIP Signups'!$K$5:$K$204,0)),"")</x:f>
      </x:c>
      <x:c r="C47" s="18" t="str">
        <x:f>IFERROR(INDEX('VIP Signups'!F$5:F$204,MATCH(ROWS($A$5:A47),'VIP Signups'!$K$5:$K$204,0)),"")</x:f>
      </x:c>
      <x:c r="D47" s="18" t="str">
        <x:f>IFERROR(INDEX('VIP Signups'!M$5:M$204,MATCH(ROWS($A$5:A47),'VIP Signups'!$K$5:$K$204,0)),"")</x:f>
      </x:c>
      <x:c r="E47" s="18" t="str">
        <x:f>IFERROR(INDEX('VIP Signups'!C$5:C$204,MATCH(ROWS($A$5:A47),'VIP Signups'!$K$5:$K$204,0)),"")</x:f>
      </x:c>
      <x:c r="F47" s="18" t="str">
        <x:f>IFERROR(INDEX('VIP Signups'!E$5:E$204,MATCH(ROWS($A$5:A47),'VIP Signups'!$K$5:$K$204,0)),"")</x:f>
      </x:c>
      <x:c r="G47" s="18" t="str">
        <x:f>IFERROR(INDEX('VIP Signups'!H$5:H$204,MATCH(ROWS($A$5:A47),'VIP Signups'!$K$5:$K$204,0)),"")</x:f>
      </x:c>
    </x:row>
    <x:row r="48">
      <x:c r="A48" s="18" t="str">
        <x:f>IFERROR(INDEX('VIP Signups'!A$5:A$204,MATCH(ROWS($A$5:A48),'VIP Signups'!$K$5:$K$204,0)),"")</x:f>
      </x:c>
      <x:c r="B48" s="18" t="str">
        <x:f>IFERROR(INDEX('VIP Signups'!D$5:D$204,MATCH(ROWS($A$5:A48),'VIP Signups'!$K$5:$K$204,0)),"")</x:f>
      </x:c>
      <x:c r="C48" s="18" t="str">
        <x:f>IFERROR(INDEX('VIP Signups'!F$5:F$204,MATCH(ROWS($A$5:A48),'VIP Signups'!$K$5:$K$204,0)),"")</x:f>
      </x:c>
      <x:c r="D48" s="18" t="str">
        <x:f>IFERROR(INDEX('VIP Signups'!M$5:M$204,MATCH(ROWS($A$5:A48),'VIP Signups'!$K$5:$K$204,0)),"")</x:f>
      </x:c>
      <x:c r="E48" s="18" t="str">
        <x:f>IFERROR(INDEX('VIP Signups'!C$5:C$204,MATCH(ROWS($A$5:A48),'VIP Signups'!$K$5:$K$204,0)),"")</x:f>
      </x:c>
      <x:c r="F48" s="18" t="str">
        <x:f>IFERROR(INDEX('VIP Signups'!E$5:E$204,MATCH(ROWS($A$5:A48),'VIP Signups'!$K$5:$K$204,0)),"")</x:f>
      </x:c>
      <x:c r="G48" s="18" t="str">
        <x:f>IFERROR(INDEX('VIP Signups'!H$5:H$204,MATCH(ROWS($A$5:A48),'VIP Signups'!$K$5:$K$204,0)),"")</x:f>
      </x:c>
    </x:row>
    <x:row r="49">
      <x:c r="A49" s="18" t="str">
        <x:f>IFERROR(INDEX('VIP Signups'!A$5:A$204,MATCH(ROWS($A$5:A49),'VIP Signups'!$K$5:$K$204,0)),"")</x:f>
      </x:c>
      <x:c r="B49" s="18" t="str">
        <x:f>IFERROR(INDEX('VIP Signups'!D$5:D$204,MATCH(ROWS($A$5:A49),'VIP Signups'!$K$5:$K$204,0)),"")</x:f>
      </x:c>
      <x:c r="C49" s="18" t="str">
        <x:f>IFERROR(INDEX('VIP Signups'!F$5:F$204,MATCH(ROWS($A$5:A49),'VIP Signups'!$K$5:$K$204,0)),"")</x:f>
      </x:c>
      <x:c r="D49" s="18" t="str">
        <x:f>IFERROR(INDEX('VIP Signups'!M$5:M$204,MATCH(ROWS($A$5:A49),'VIP Signups'!$K$5:$K$204,0)),"")</x:f>
      </x:c>
      <x:c r="E49" s="18" t="str">
        <x:f>IFERROR(INDEX('VIP Signups'!C$5:C$204,MATCH(ROWS($A$5:A49),'VIP Signups'!$K$5:$K$204,0)),"")</x:f>
      </x:c>
      <x:c r="F49" s="18" t="str">
        <x:f>IFERROR(INDEX('VIP Signups'!E$5:E$204,MATCH(ROWS($A$5:A49),'VIP Signups'!$K$5:$K$204,0)),"")</x:f>
      </x:c>
      <x:c r="G49" s="18" t="str">
        <x:f>IFERROR(INDEX('VIP Signups'!H$5:H$204,MATCH(ROWS($A$5:A49),'VIP Signups'!$K$5:$K$204,0)),"")</x:f>
      </x:c>
    </x:row>
    <x:row r="50">
      <x:c r="A50" s="18" t="str">
        <x:f>IFERROR(INDEX('VIP Signups'!A$5:A$204,MATCH(ROWS($A$5:A50),'VIP Signups'!$K$5:$K$204,0)),"")</x:f>
      </x:c>
      <x:c r="B50" s="18" t="str">
        <x:f>IFERROR(INDEX('VIP Signups'!D$5:D$204,MATCH(ROWS($A$5:A50),'VIP Signups'!$K$5:$K$204,0)),"")</x:f>
      </x:c>
      <x:c r="C50" s="18" t="str">
        <x:f>IFERROR(INDEX('VIP Signups'!F$5:F$204,MATCH(ROWS($A$5:A50),'VIP Signups'!$K$5:$K$204,0)),"")</x:f>
      </x:c>
      <x:c r="D50" s="18" t="str">
        <x:f>IFERROR(INDEX('VIP Signups'!M$5:M$204,MATCH(ROWS($A$5:A50),'VIP Signups'!$K$5:$K$204,0)),"")</x:f>
      </x:c>
      <x:c r="E50" s="18" t="str">
        <x:f>IFERROR(INDEX('VIP Signups'!C$5:C$204,MATCH(ROWS($A$5:A50),'VIP Signups'!$K$5:$K$204,0)),"")</x:f>
      </x:c>
      <x:c r="F50" s="18" t="str">
        <x:f>IFERROR(INDEX('VIP Signups'!E$5:E$204,MATCH(ROWS($A$5:A50),'VIP Signups'!$K$5:$K$204,0)),"")</x:f>
      </x:c>
      <x:c r="G50" s="18" t="str">
        <x:f>IFERROR(INDEX('VIP Signups'!H$5:H$204,MATCH(ROWS($A$5:A50),'VIP Signups'!$K$5:$K$204,0)),"")</x:f>
      </x:c>
    </x:row>
    <x:row r="51">
      <x:c r="A51" s="18" t="str">
        <x:f>IFERROR(INDEX('VIP Signups'!A$5:A$204,MATCH(ROWS($A$5:A51),'VIP Signups'!$K$5:$K$204,0)),"")</x:f>
      </x:c>
      <x:c r="B51" s="18" t="str">
        <x:f>IFERROR(INDEX('VIP Signups'!D$5:D$204,MATCH(ROWS($A$5:A51),'VIP Signups'!$K$5:$K$204,0)),"")</x:f>
      </x:c>
      <x:c r="C51" s="18" t="str">
        <x:f>IFERROR(INDEX('VIP Signups'!F$5:F$204,MATCH(ROWS($A$5:A51),'VIP Signups'!$K$5:$K$204,0)),"")</x:f>
      </x:c>
      <x:c r="D51" s="18" t="str">
        <x:f>IFERROR(INDEX('VIP Signups'!M$5:M$204,MATCH(ROWS($A$5:A51),'VIP Signups'!$K$5:$K$204,0)),"")</x:f>
      </x:c>
      <x:c r="E51" s="18" t="str">
        <x:f>IFERROR(INDEX('VIP Signups'!C$5:C$204,MATCH(ROWS($A$5:A51),'VIP Signups'!$K$5:$K$204,0)),"")</x:f>
      </x:c>
      <x:c r="F51" s="18" t="str">
        <x:f>IFERROR(INDEX('VIP Signups'!E$5:E$204,MATCH(ROWS($A$5:A51),'VIP Signups'!$K$5:$K$204,0)),"")</x:f>
      </x:c>
      <x:c r="G51" s="18" t="str">
        <x:f>IFERROR(INDEX('VIP Signups'!H$5:H$204,MATCH(ROWS($A$5:A51),'VIP Signups'!$K$5:$K$204,0)),"")</x:f>
      </x:c>
    </x:row>
    <x:row r="52">
      <x:c r="A52" s="18" t="str">
        <x:f>IFERROR(INDEX('VIP Signups'!A$5:A$204,MATCH(ROWS($A$5:A52),'VIP Signups'!$K$5:$K$204,0)),"")</x:f>
      </x:c>
      <x:c r="B52" s="18" t="str">
        <x:f>IFERROR(INDEX('VIP Signups'!D$5:D$204,MATCH(ROWS($A$5:A52),'VIP Signups'!$K$5:$K$204,0)),"")</x:f>
      </x:c>
      <x:c r="C52" s="18" t="str">
        <x:f>IFERROR(INDEX('VIP Signups'!F$5:F$204,MATCH(ROWS($A$5:A52),'VIP Signups'!$K$5:$K$204,0)),"")</x:f>
      </x:c>
      <x:c r="D52" s="18" t="str">
        <x:f>IFERROR(INDEX('VIP Signups'!M$5:M$204,MATCH(ROWS($A$5:A52),'VIP Signups'!$K$5:$K$204,0)),"")</x:f>
      </x:c>
      <x:c r="E52" s="18" t="str">
        <x:f>IFERROR(INDEX('VIP Signups'!C$5:C$204,MATCH(ROWS($A$5:A52),'VIP Signups'!$K$5:$K$204,0)),"")</x:f>
      </x:c>
      <x:c r="F52" s="18" t="str">
        <x:f>IFERROR(INDEX('VIP Signups'!E$5:E$204,MATCH(ROWS($A$5:A52),'VIP Signups'!$K$5:$K$204,0)),"")</x:f>
      </x:c>
      <x:c r="G52" s="18" t="str">
        <x:f>IFERROR(INDEX('VIP Signups'!H$5:H$204,MATCH(ROWS($A$5:A52),'VIP Signups'!$K$5:$K$204,0)),"")</x:f>
      </x:c>
    </x:row>
    <x:row r="53">
      <x:c r="A53" s="18" t="str">
        <x:f>IFERROR(INDEX('VIP Signups'!A$5:A$204,MATCH(ROWS($A$5:A53),'VIP Signups'!$K$5:$K$204,0)),"")</x:f>
      </x:c>
      <x:c r="B53" s="18" t="str">
        <x:f>IFERROR(INDEX('VIP Signups'!D$5:D$204,MATCH(ROWS($A$5:A53),'VIP Signups'!$K$5:$K$204,0)),"")</x:f>
      </x:c>
      <x:c r="C53" s="18" t="str">
        <x:f>IFERROR(INDEX('VIP Signups'!F$5:F$204,MATCH(ROWS($A$5:A53),'VIP Signups'!$K$5:$K$204,0)),"")</x:f>
      </x:c>
      <x:c r="D53" s="18" t="str">
        <x:f>IFERROR(INDEX('VIP Signups'!M$5:M$204,MATCH(ROWS($A$5:A53),'VIP Signups'!$K$5:$K$204,0)),"")</x:f>
      </x:c>
      <x:c r="E53" s="18" t="str">
        <x:f>IFERROR(INDEX('VIP Signups'!C$5:C$204,MATCH(ROWS($A$5:A53),'VIP Signups'!$K$5:$K$204,0)),"")</x:f>
      </x:c>
      <x:c r="F53" s="18" t="str">
        <x:f>IFERROR(INDEX('VIP Signups'!E$5:E$204,MATCH(ROWS($A$5:A53),'VIP Signups'!$K$5:$K$204,0)),"")</x:f>
      </x:c>
      <x:c r="G53" s="18" t="str">
        <x:f>IFERROR(INDEX('VIP Signups'!H$5:H$204,MATCH(ROWS($A$5:A53),'VIP Signups'!$K$5:$K$204,0)),"")</x:f>
      </x:c>
    </x:row>
    <x:row r="54">
      <x:c r="A54" s="18" t="str">
        <x:f>IFERROR(INDEX('VIP Signups'!A$5:A$204,MATCH(ROWS($A$5:A54),'VIP Signups'!$K$5:$K$204,0)),"")</x:f>
      </x:c>
      <x:c r="B54" s="18" t="str">
        <x:f>IFERROR(INDEX('VIP Signups'!D$5:D$204,MATCH(ROWS($A$5:A54),'VIP Signups'!$K$5:$K$204,0)),"")</x:f>
      </x:c>
      <x:c r="C54" s="18" t="str">
        <x:f>IFERROR(INDEX('VIP Signups'!F$5:F$204,MATCH(ROWS($A$5:A54),'VIP Signups'!$K$5:$K$204,0)),"")</x:f>
      </x:c>
      <x:c r="D54" s="18" t="str">
        <x:f>IFERROR(INDEX('VIP Signups'!M$5:M$204,MATCH(ROWS($A$5:A54),'VIP Signups'!$K$5:$K$204,0)),"")</x:f>
      </x:c>
      <x:c r="E54" s="18" t="str">
        <x:f>IFERROR(INDEX('VIP Signups'!C$5:C$204,MATCH(ROWS($A$5:A54),'VIP Signups'!$K$5:$K$204,0)),"")</x:f>
      </x:c>
      <x:c r="F54" s="18" t="str">
        <x:f>IFERROR(INDEX('VIP Signups'!E$5:E$204,MATCH(ROWS($A$5:A54),'VIP Signups'!$K$5:$K$204,0)),"")</x:f>
      </x:c>
      <x:c r="G54" s="18" t="str">
        <x:f>IFERROR(INDEX('VIP Signups'!H$5:H$204,MATCH(ROWS($A$5:A54),'VIP Signups'!$K$5:$K$204,0)),"")</x:f>
      </x:c>
    </x:row>
    <x:row r="55">
      <x:c r="A55" s="18" t="str">
        <x:f>IFERROR(INDEX('VIP Signups'!A$5:A$204,MATCH(ROWS($A$5:A55),'VIP Signups'!$K$5:$K$204,0)),"")</x:f>
      </x:c>
      <x:c r="B55" s="18" t="str">
        <x:f>IFERROR(INDEX('VIP Signups'!D$5:D$204,MATCH(ROWS($A$5:A55),'VIP Signups'!$K$5:$K$204,0)),"")</x:f>
      </x:c>
      <x:c r="C55" s="18" t="str">
        <x:f>IFERROR(INDEX('VIP Signups'!F$5:F$204,MATCH(ROWS($A$5:A55),'VIP Signups'!$K$5:$K$204,0)),"")</x:f>
      </x:c>
      <x:c r="D55" s="18" t="str">
        <x:f>IFERROR(INDEX('VIP Signups'!M$5:M$204,MATCH(ROWS($A$5:A55),'VIP Signups'!$K$5:$K$204,0)),"")</x:f>
      </x:c>
      <x:c r="E55" s="18" t="str">
        <x:f>IFERROR(INDEX('VIP Signups'!C$5:C$204,MATCH(ROWS($A$5:A55),'VIP Signups'!$K$5:$K$204,0)),"")</x:f>
      </x:c>
      <x:c r="F55" s="18" t="str">
        <x:f>IFERROR(INDEX('VIP Signups'!E$5:E$204,MATCH(ROWS($A$5:A55),'VIP Signups'!$K$5:$K$204,0)),"")</x:f>
      </x:c>
      <x:c r="G55" s="18" t="str">
        <x:f>IFERROR(INDEX('VIP Signups'!H$5:H$204,MATCH(ROWS($A$5:A55),'VIP Signups'!$K$5:$K$204,0)),"")</x:f>
      </x:c>
    </x:row>
    <x:row r="56">
      <x:c r="A56" s="18" t="str">
        <x:f>IFERROR(INDEX('VIP Signups'!A$5:A$204,MATCH(ROWS($A$5:A56),'VIP Signups'!$K$5:$K$204,0)),"")</x:f>
      </x:c>
      <x:c r="B56" s="18" t="str">
        <x:f>IFERROR(INDEX('VIP Signups'!D$5:D$204,MATCH(ROWS($A$5:A56),'VIP Signups'!$K$5:$K$204,0)),"")</x:f>
      </x:c>
      <x:c r="C56" s="18" t="str">
        <x:f>IFERROR(INDEX('VIP Signups'!F$5:F$204,MATCH(ROWS($A$5:A56),'VIP Signups'!$K$5:$K$204,0)),"")</x:f>
      </x:c>
      <x:c r="D56" s="18" t="str">
        <x:f>IFERROR(INDEX('VIP Signups'!M$5:M$204,MATCH(ROWS($A$5:A56),'VIP Signups'!$K$5:$K$204,0)),"")</x:f>
      </x:c>
      <x:c r="E56" s="18" t="str">
        <x:f>IFERROR(INDEX('VIP Signups'!C$5:C$204,MATCH(ROWS($A$5:A56),'VIP Signups'!$K$5:$K$204,0)),"")</x:f>
      </x:c>
      <x:c r="F56" s="18" t="str">
        <x:f>IFERROR(INDEX('VIP Signups'!E$5:E$204,MATCH(ROWS($A$5:A56),'VIP Signups'!$K$5:$K$204,0)),"")</x:f>
      </x:c>
      <x:c r="G56" s="18" t="str">
        <x:f>IFERROR(INDEX('VIP Signups'!H$5:H$204,MATCH(ROWS($A$5:A56),'VIP Signups'!$K$5:$K$204,0)),"")</x:f>
      </x:c>
    </x:row>
    <x:row r="57">
      <x:c r="A57" s="18" t="str">
        <x:f>IFERROR(INDEX('VIP Signups'!A$5:A$204,MATCH(ROWS($A$5:A57),'VIP Signups'!$K$5:$K$204,0)),"")</x:f>
      </x:c>
      <x:c r="B57" s="18" t="str">
        <x:f>IFERROR(INDEX('VIP Signups'!D$5:D$204,MATCH(ROWS($A$5:A57),'VIP Signups'!$K$5:$K$204,0)),"")</x:f>
      </x:c>
      <x:c r="C57" s="18" t="str">
        <x:f>IFERROR(INDEX('VIP Signups'!F$5:F$204,MATCH(ROWS($A$5:A57),'VIP Signups'!$K$5:$K$204,0)),"")</x:f>
      </x:c>
      <x:c r="D57" s="18" t="str">
        <x:f>IFERROR(INDEX('VIP Signups'!M$5:M$204,MATCH(ROWS($A$5:A57),'VIP Signups'!$K$5:$K$204,0)),"")</x:f>
      </x:c>
      <x:c r="E57" s="18" t="str">
        <x:f>IFERROR(INDEX('VIP Signups'!C$5:C$204,MATCH(ROWS($A$5:A57),'VIP Signups'!$K$5:$K$204,0)),"")</x:f>
      </x:c>
      <x:c r="F57" s="18" t="str">
        <x:f>IFERROR(INDEX('VIP Signups'!E$5:E$204,MATCH(ROWS($A$5:A57),'VIP Signups'!$K$5:$K$204,0)),"")</x:f>
      </x:c>
      <x:c r="G57" s="18" t="str">
        <x:f>IFERROR(INDEX('VIP Signups'!H$5:H$204,MATCH(ROWS($A$5:A57),'VIP Signups'!$K$5:$K$204,0)),"")</x:f>
      </x:c>
    </x:row>
    <x:row r="58">
      <x:c r="A58" s="18" t="str">
        <x:f>IFERROR(INDEX('VIP Signups'!A$5:A$204,MATCH(ROWS($A$5:A58),'VIP Signups'!$K$5:$K$204,0)),"")</x:f>
      </x:c>
      <x:c r="B58" s="18" t="str">
        <x:f>IFERROR(INDEX('VIP Signups'!D$5:D$204,MATCH(ROWS($A$5:A58),'VIP Signups'!$K$5:$K$204,0)),"")</x:f>
      </x:c>
      <x:c r="C58" s="18" t="str">
        <x:f>IFERROR(INDEX('VIP Signups'!F$5:F$204,MATCH(ROWS($A$5:A58),'VIP Signups'!$K$5:$K$204,0)),"")</x:f>
      </x:c>
      <x:c r="D58" s="18" t="str">
        <x:f>IFERROR(INDEX('VIP Signups'!M$5:M$204,MATCH(ROWS($A$5:A58),'VIP Signups'!$K$5:$K$204,0)),"")</x:f>
      </x:c>
      <x:c r="E58" s="18" t="str">
        <x:f>IFERROR(INDEX('VIP Signups'!C$5:C$204,MATCH(ROWS($A$5:A58),'VIP Signups'!$K$5:$K$204,0)),"")</x:f>
      </x:c>
      <x:c r="F58" s="18" t="str">
        <x:f>IFERROR(INDEX('VIP Signups'!E$5:E$204,MATCH(ROWS($A$5:A58),'VIP Signups'!$K$5:$K$204,0)),"")</x:f>
      </x:c>
      <x:c r="G58" s="18" t="str">
        <x:f>IFERROR(INDEX('VIP Signups'!H$5:H$204,MATCH(ROWS($A$5:A58),'VIP Signups'!$K$5:$K$204,0)),"")</x:f>
      </x:c>
    </x:row>
    <x:row r="59">
      <x:c r="A59" s="18" t="str">
        <x:f>IFERROR(INDEX('VIP Signups'!A$5:A$204,MATCH(ROWS($A$5:A59),'VIP Signups'!$K$5:$K$204,0)),"")</x:f>
      </x:c>
      <x:c r="B59" s="18" t="str">
        <x:f>IFERROR(INDEX('VIP Signups'!D$5:D$204,MATCH(ROWS($A$5:A59),'VIP Signups'!$K$5:$K$204,0)),"")</x:f>
      </x:c>
      <x:c r="C59" s="18" t="str">
        <x:f>IFERROR(INDEX('VIP Signups'!F$5:F$204,MATCH(ROWS($A$5:A59),'VIP Signups'!$K$5:$K$204,0)),"")</x:f>
      </x:c>
      <x:c r="D59" s="18" t="str">
        <x:f>IFERROR(INDEX('VIP Signups'!M$5:M$204,MATCH(ROWS($A$5:A59),'VIP Signups'!$K$5:$K$204,0)),"")</x:f>
      </x:c>
      <x:c r="E59" s="18" t="str">
        <x:f>IFERROR(INDEX('VIP Signups'!C$5:C$204,MATCH(ROWS($A$5:A59),'VIP Signups'!$K$5:$K$204,0)),"")</x:f>
      </x:c>
      <x:c r="F59" s="18" t="str">
        <x:f>IFERROR(INDEX('VIP Signups'!E$5:E$204,MATCH(ROWS($A$5:A59),'VIP Signups'!$K$5:$K$204,0)),"")</x:f>
      </x:c>
      <x:c r="G59" s="18" t="str">
        <x:f>IFERROR(INDEX('VIP Signups'!H$5:H$204,MATCH(ROWS($A$5:A59),'VIP Signups'!$K$5:$K$204,0)),"")</x:f>
      </x:c>
    </x:row>
    <x:row r="60">
      <x:c r="A60" s="18" t="str">
        <x:f>IFERROR(INDEX('VIP Signups'!A$5:A$204,MATCH(ROWS($A$5:A60),'VIP Signups'!$K$5:$K$204,0)),"")</x:f>
      </x:c>
      <x:c r="B60" s="18" t="str">
        <x:f>IFERROR(INDEX('VIP Signups'!D$5:D$204,MATCH(ROWS($A$5:A60),'VIP Signups'!$K$5:$K$204,0)),"")</x:f>
      </x:c>
      <x:c r="C60" s="18" t="str">
        <x:f>IFERROR(INDEX('VIP Signups'!F$5:F$204,MATCH(ROWS($A$5:A60),'VIP Signups'!$K$5:$K$204,0)),"")</x:f>
      </x:c>
      <x:c r="D60" s="18" t="str">
        <x:f>IFERROR(INDEX('VIP Signups'!M$5:M$204,MATCH(ROWS($A$5:A60),'VIP Signups'!$K$5:$K$204,0)),"")</x:f>
      </x:c>
      <x:c r="E60" s="18" t="str">
        <x:f>IFERROR(INDEX('VIP Signups'!C$5:C$204,MATCH(ROWS($A$5:A60),'VIP Signups'!$K$5:$K$204,0)),"")</x:f>
      </x:c>
      <x:c r="F60" s="18" t="str">
        <x:f>IFERROR(INDEX('VIP Signups'!E$5:E$204,MATCH(ROWS($A$5:A60),'VIP Signups'!$K$5:$K$204,0)),"")</x:f>
      </x:c>
      <x:c r="G60" s="18" t="str">
        <x:f>IFERROR(INDEX('VIP Signups'!H$5:H$204,MATCH(ROWS($A$5:A60),'VIP Signups'!$K$5:$K$204,0)),"")</x:f>
      </x:c>
    </x:row>
    <x:row r="61">
      <x:c r="A61" s="18" t="str">
        <x:f>IFERROR(INDEX('VIP Signups'!A$5:A$204,MATCH(ROWS($A$5:A61),'VIP Signups'!$K$5:$K$204,0)),"")</x:f>
      </x:c>
      <x:c r="B61" s="18" t="str">
        <x:f>IFERROR(INDEX('VIP Signups'!D$5:D$204,MATCH(ROWS($A$5:A61),'VIP Signups'!$K$5:$K$204,0)),"")</x:f>
      </x:c>
      <x:c r="C61" s="18" t="str">
        <x:f>IFERROR(INDEX('VIP Signups'!F$5:F$204,MATCH(ROWS($A$5:A61),'VIP Signups'!$K$5:$K$204,0)),"")</x:f>
      </x:c>
      <x:c r="D61" s="18" t="str">
        <x:f>IFERROR(INDEX('VIP Signups'!M$5:M$204,MATCH(ROWS($A$5:A61),'VIP Signups'!$K$5:$K$204,0)),"")</x:f>
      </x:c>
      <x:c r="E61" s="18" t="str">
        <x:f>IFERROR(INDEX('VIP Signups'!C$5:C$204,MATCH(ROWS($A$5:A61),'VIP Signups'!$K$5:$K$204,0)),"")</x:f>
      </x:c>
      <x:c r="F61" s="18" t="str">
        <x:f>IFERROR(INDEX('VIP Signups'!E$5:E$204,MATCH(ROWS($A$5:A61),'VIP Signups'!$K$5:$K$204,0)),"")</x:f>
      </x:c>
      <x:c r="G61" s="18" t="str">
        <x:f>IFERROR(INDEX('VIP Signups'!H$5:H$204,MATCH(ROWS($A$5:A61),'VIP Signups'!$K$5:$K$204,0)),"")</x:f>
      </x:c>
    </x:row>
    <x:row r="62">
      <x:c r="A62" s="18" t="str">
        <x:f>IFERROR(INDEX('VIP Signups'!A$5:A$204,MATCH(ROWS($A$5:A62),'VIP Signups'!$K$5:$K$204,0)),"")</x:f>
      </x:c>
      <x:c r="B62" s="18" t="str">
        <x:f>IFERROR(INDEX('VIP Signups'!D$5:D$204,MATCH(ROWS($A$5:A62),'VIP Signups'!$K$5:$K$204,0)),"")</x:f>
      </x:c>
      <x:c r="C62" s="18" t="str">
        <x:f>IFERROR(INDEX('VIP Signups'!F$5:F$204,MATCH(ROWS($A$5:A62),'VIP Signups'!$K$5:$K$204,0)),"")</x:f>
      </x:c>
      <x:c r="D62" s="18" t="str">
        <x:f>IFERROR(INDEX('VIP Signups'!M$5:M$204,MATCH(ROWS($A$5:A62),'VIP Signups'!$K$5:$K$204,0)),"")</x:f>
      </x:c>
      <x:c r="E62" s="18" t="str">
        <x:f>IFERROR(INDEX('VIP Signups'!C$5:C$204,MATCH(ROWS($A$5:A62),'VIP Signups'!$K$5:$K$204,0)),"")</x:f>
      </x:c>
      <x:c r="F62" s="18" t="str">
        <x:f>IFERROR(INDEX('VIP Signups'!E$5:E$204,MATCH(ROWS($A$5:A62),'VIP Signups'!$K$5:$K$204,0)),"")</x:f>
      </x:c>
      <x:c r="G62" s="18" t="str">
        <x:f>IFERROR(INDEX('VIP Signups'!H$5:H$204,MATCH(ROWS($A$5:A62),'VIP Signups'!$K$5:$K$204,0)),"")</x:f>
      </x:c>
    </x:row>
    <x:row r="63">
      <x:c r="A63" s="18" t="str">
        <x:f>IFERROR(INDEX('VIP Signups'!A$5:A$204,MATCH(ROWS($A$5:A63),'VIP Signups'!$K$5:$K$204,0)),"")</x:f>
      </x:c>
      <x:c r="B63" s="18" t="str">
        <x:f>IFERROR(INDEX('VIP Signups'!D$5:D$204,MATCH(ROWS($A$5:A63),'VIP Signups'!$K$5:$K$204,0)),"")</x:f>
      </x:c>
      <x:c r="C63" s="18" t="str">
        <x:f>IFERROR(INDEX('VIP Signups'!F$5:F$204,MATCH(ROWS($A$5:A63),'VIP Signups'!$K$5:$K$204,0)),"")</x:f>
      </x:c>
      <x:c r="D63" s="18" t="str">
        <x:f>IFERROR(INDEX('VIP Signups'!M$5:M$204,MATCH(ROWS($A$5:A63),'VIP Signups'!$K$5:$K$204,0)),"")</x:f>
      </x:c>
      <x:c r="E63" s="18" t="str">
        <x:f>IFERROR(INDEX('VIP Signups'!C$5:C$204,MATCH(ROWS($A$5:A63),'VIP Signups'!$K$5:$K$204,0)),"")</x:f>
      </x:c>
      <x:c r="F63" s="18" t="str">
        <x:f>IFERROR(INDEX('VIP Signups'!E$5:E$204,MATCH(ROWS($A$5:A63),'VIP Signups'!$K$5:$K$204,0)),"")</x:f>
      </x:c>
      <x:c r="G63" s="18" t="str">
        <x:f>IFERROR(INDEX('VIP Signups'!H$5:H$204,MATCH(ROWS($A$5:A63),'VIP Signups'!$K$5:$K$204,0)),"")</x:f>
      </x:c>
    </x:row>
    <x:row r="64">
      <x:c r="A64" s="18" t="str">
        <x:f>IFERROR(INDEX('VIP Signups'!A$5:A$204,MATCH(ROWS($A$5:A64),'VIP Signups'!$K$5:$K$204,0)),"")</x:f>
      </x:c>
      <x:c r="B64" s="18" t="str">
        <x:f>IFERROR(INDEX('VIP Signups'!D$5:D$204,MATCH(ROWS($A$5:A64),'VIP Signups'!$K$5:$K$204,0)),"")</x:f>
      </x:c>
      <x:c r="C64" s="18" t="str">
        <x:f>IFERROR(INDEX('VIP Signups'!F$5:F$204,MATCH(ROWS($A$5:A64),'VIP Signups'!$K$5:$K$204,0)),"")</x:f>
      </x:c>
      <x:c r="D64" s="18" t="str">
        <x:f>IFERROR(INDEX('VIP Signups'!M$5:M$204,MATCH(ROWS($A$5:A64),'VIP Signups'!$K$5:$K$204,0)),"")</x:f>
      </x:c>
      <x:c r="E64" s="18" t="str">
        <x:f>IFERROR(INDEX('VIP Signups'!C$5:C$204,MATCH(ROWS($A$5:A64),'VIP Signups'!$K$5:$K$204,0)),"")</x:f>
      </x:c>
      <x:c r="F64" s="18" t="str">
        <x:f>IFERROR(INDEX('VIP Signups'!E$5:E$204,MATCH(ROWS($A$5:A64),'VIP Signups'!$K$5:$K$204,0)),"")</x:f>
      </x:c>
      <x:c r="G64" s="18" t="str">
        <x:f>IFERROR(INDEX('VIP Signups'!H$5:H$204,MATCH(ROWS($A$5:A64),'VIP Signups'!$K$5:$K$204,0)),"")</x:f>
      </x:c>
    </x:row>
    <x:row r="65">
      <x:c r="A65" s="18" t="str">
        <x:f>IFERROR(INDEX('VIP Signups'!A$5:A$204,MATCH(ROWS($A$5:A65),'VIP Signups'!$K$5:$K$204,0)),"")</x:f>
      </x:c>
      <x:c r="B65" s="18" t="str">
        <x:f>IFERROR(INDEX('VIP Signups'!D$5:D$204,MATCH(ROWS($A$5:A65),'VIP Signups'!$K$5:$K$204,0)),"")</x:f>
      </x:c>
      <x:c r="C65" s="18" t="str">
        <x:f>IFERROR(INDEX('VIP Signups'!F$5:F$204,MATCH(ROWS($A$5:A65),'VIP Signups'!$K$5:$K$204,0)),"")</x:f>
      </x:c>
      <x:c r="D65" s="18" t="str">
        <x:f>IFERROR(INDEX('VIP Signups'!M$5:M$204,MATCH(ROWS($A$5:A65),'VIP Signups'!$K$5:$K$204,0)),"")</x:f>
      </x:c>
      <x:c r="E65" s="18" t="str">
        <x:f>IFERROR(INDEX('VIP Signups'!C$5:C$204,MATCH(ROWS($A$5:A65),'VIP Signups'!$K$5:$K$204,0)),"")</x:f>
      </x:c>
      <x:c r="F65" s="18" t="str">
        <x:f>IFERROR(INDEX('VIP Signups'!E$5:E$204,MATCH(ROWS($A$5:A65),'VIP Signups'!$K$5:$K$204,0)),"")</x:f>
      </x:c>
      <x:c r="G65" s="18" t="str">
        <x:f>IFERROR(INDEX('VIP Signups'!H$5:H$204,MATCH(ROWS($A$5:A65),'VIP Signups'!$K$5:$K$204,0)),"")</x:f>
      </x:c>
    </x:row>
    <x:row r="66">
      <x:c r="A66" s="18" t="str">
        <x:f>IFERROR(INDEX('VIP Signups'!A$5:A$204,MATCH(ROWS($A$5:A66),'VIP Signups'!$K$5:$K$204,0)),"")</x:f>
      </x:c>
      <x:c r="B66" s="18" t="str">
        <x:f>IFERROR(INDEX('VIP Signups'!D$5:D$204,MATCH(ROWS($A$5:A66),'VIP Signups'!$K$5:$K$204,0)),"")</x:f>
      </x:c>
      <x:c r="C66" s="18" t="str">
        <x:f>IFERROR(INDEX('VIP Signups'!F$5:F$204,MATCH(ROWS($A$5:A66),'VIP Signups'!$K$5:$K$204,0)),"")</x:f>
      </x:c>
      <x:c r="D66" s="18" t="str">
        <x:f>IFERROR(INDEX('VIP Signups'!M$5:M$204,MATCH(ROWS($A$5:A66),'VIP Signups'!$K$5:$K$204,0)),"")</x:f>
      </x:c>
      <x:c r="E66" s="18" t="str">
        <x:f>IFERROR(INDEX('VIP Signups'!C$5:C$204,MATCH(ROWS($A$5:A66),'VIP Signups'!$K$5:$K$204,0)),"")</x:f>
      </x:c>
      <x:c r="F66" s="18" t="str">
        <x:f>IFERROR(INDEX('VIP Signups'!E$5:E$204,MATCH(ROWS($A$5:A66),'VIP Signups'!$K$5:$K$204,0)),"")</x:f>
      </x:c>
      <x:c r="G66" s="18" t="str">
        <x:f>IFERROR(INDEX('VIP Signups'!H$5:H$204,MATCH(ROWS($A$5:A66),'VIP Signups'!$K$5:$K$204,0)),"")</x:f>
      </x:c>
    </x:row>
    <x:row r="67">
      <x:c r="A67" s="18" t="str">
        <x:f>IFERROR(INDEX('VIP Signups'!A$5:A$204,MATCH(ROWS($A$5:A67),'VIP Signups'!$K$5:$K$204,0)),"")</x:f>
      </x:c>
      <x:c r="B67" s="18" t="str">
        <x:f>IFERROR(INDEX('VIP Signups'!D$5:D$204,MATCH(ROWS($A$5:A67),'VIP Signups'!$K$5:$K$204,0)),"")</x:f>
      </x:c>
      <x:c r="C67" s="18" t="str">
        <x:f>IFERROR(INDEX('VIP Signups'!F$5:F$204,MATCH(ROWS($A$5:A67),'VIP Signups'!$K$5:$K$204,0)),"")</x:f>
      </x:c>
      <x:c r="D67" s="18" t="str">
        <x:f>IFERROR(INDEX('VIP Signups'!M$5:M$204,MATCH(ROWS($A$5:A67),'VIP Signups'!$K$5:$K$204,0)),"")</x:f>
      </x:c>
      <x:c r="E67" s="18" t="str">
        <x:f>IFERROR(INDEX('VIP Signups'!C$5:C$204,MATCH(ROWS($A$5:A67),'VIP Signups'!$K$5:$K$204,0)),"")</x:f>
      </x:c>
      <x:c r="F67" s="18" t="str">
        <x:f>IFERROR(INDEX('VIP Signups'!E$5:E$204,MATCH(ROWS($A$5:A67),'VIP Signups'!$K$5:$K$204,0)),"")</x:f>
      </x:c>
      <x:c r="G67" s="18" t="str">
        <x:f>IFERROR(INDEX('VIP Signups'!H$5:H$204,MATCH(ROWS($A$5:A67),'VIP Signups'!$K$5:$K$204,0)),"")</x:f>
      </x:c>
    </x:row>
    <x:row r="68">
      <x:c r="A68" s="18" t="str">
        <x:f>IFERROR(INDEX('VIP Signups'!A$5:A$204,MATCH(ROWS($A$5:A68),'VIP Signups'!$K$5:$K$204,0)),"")</x:f>
      </x:c>
      <x:c r="B68" s="18" t="str">
        <x:f>IFERROR(INDEX('VIP Signups'!D$5:D$204,MATCH(ROWS($A$5:A68),'VIP Signups'!$K$5:$K$204,0)),"")</x:f>
      </x:c>
      <x:c r="C68" s="18" t="str">
        <x:f>IFERROR(INDEX('VIP Signups'!F$5:F$204,MATCH(ROWS($A$5:A68),'VIP Signups'!$K$5:$K$204,0)),"")</x:f>
      </x:c>
      <x:c r="D68" s="18" t="str">
        <x:f>IFERROR(INDEX('VIP Signups'!M$5:M$204,MATCH(ROWS($A$5:A68),'VIP Signups'!$K$5:$K$204,0)),"")</x:f>
      </x:c>
      <x:c r="E68" s="18" t="str">
        <x:f>IFERROR(INDEX('VIP Signups'!C$5:C$204,MATCH(ROWS($A$5:A68),'VIP Signups'!$K$5:$K$204,0)),"")</x:f>
      </x:c>
      <x:c r="F68" s="18" t="str">
        <x:f>IFERROR(INDEX('VIP Signups'!E$5:E$204,MATCH(ROWS($A$5:A68),'VIP Signups'!$K$5:$K$204,0)),"")</x:f>
      </x:c>
      <x:c r="G68" s="18" t="str">
        <x:f>IFERROR(INDEX('VIP Signups'!H$5:H$204,MATCH(ROWS($A$5:A68),'VIP Signups'!$K$5:$K$204,0)),"")</x:f>
      </x:c>
    </x:row>
    <x:row r="69">
      <x:c r="A69" s="18" t="str">
        <x:f>IFERROR(INDEX('VIP Signups'!A$5:A$204,MATCH(ROWS($A$5:A69),'VIP Signups'!$K$5:$K$204,0)),"")</x:f>
      </x:c>
      <x:c r="B69" s="18" t="str">
        <x:f>IFERROR(INDEX('VIP Signups'!D$5:D$204,MATCH(ROWS($A$5:A69),'VIP Signups'!$K$5:$K$204,0)),"")</x:f>
      </x:c>
      <x:c r="C69" s="18" t="str">
        <x:f>IFERROR(INDEX('VIP Signups'!F$5:F$204,MATCH(ROWS($A$5:A69),'VIP Signups'!$K$5:$K$204,0)),"")</x:f>
      </x:c>
      <x:c r="D69" s="18" t="str">
        <x:f>IFERROR(INDEX('VIP Signups'!M$5:M$204,MATCH(ROWS($A$5:A69),'VIP Signups'!$K$5:$K$204,0)),"")</x:f>
      </x:c>
      <x:c r="E69" s="18" t="str">
        <x:f>IFERROR(INDEX('VIP Signups'!C$5:C$204,MATCH(ROWS($A$5:A69),'VIP Signups'!$K$5:$K$204,0)),"")</x:f>
      </x:c>
      <x:c r="F69" s="18" t="str">
        <x:f>IFERROR(INDEX('VIP Signups'!E$5:E$204,MATCH(ROWS($A$5:A69),'VIP Signups'!$K$5:$K$204,0)),"")</x:f>
      </x:c>
      <x:c r="G69" s="18" t="str">
        <x:f>IFERROR(INDEX('VIP Signups'!H$5:H$204,MATCH(ROWS($A$5:A69),'VIP Signups'!$K$5:$K$204,0)),"")</x:f>
      </x:c>
    </x:row>
    <x:row r="70">
      <x:c r="A70" s="18" t="str">
        <x:f>IFERROR(INDEX('VIP Signups'!A$5:A$204,MATCH(ROWS($A$5:A70),'VIP Signups'!$K$5:$K$204,0)),"")</x:f>
      </x:c>
      <x:c r="B70" s="18" t="str">
        <x:f>IFERROR(INDEX('VIP Signups'!D$5:D$204,MATCH(ROWS($A$5:A70),'VIP Signups'!$K$5:$K$204,0)),"")</x:f>
      </x:c>
      <x:c r="C70" s="18" t="str">
        <x:f>IFERROR(INDEX('VIP Signups'!F$5:F$204,MATCH(ROWS($A$5:A70),'VIP Signups'!$K$5:$K$204,0)),"")</x:f>
      </x:c>
      <x:c r="D70" s="18" t="str">
        <x:f>IFERROR(INDEX('VIP Signups'!M$5:M$204,MATCH(ROWS($A$5:A70),'VIP Signups'!$K$5:$K$204,0)),"")</x:f>
      </x:c>
      <x:c r="E70" s="18" t="str">
        <x:f>IFERROR(INDEX('VIP Signups'!C$5:C$204,MATCH(ROWS($A$5:A70),'VIP Signups'!$K$5:$K$204,0)),"")</x:f>
      </x:c>
      <x:c r="F70" s="18" t="str">
        <x:f>IFERROR(INDEX('VIP Signups'!E$5:E$204,MATCH(ROWS($A$5:A70),'VIP Signups'!$K$5:$K$204,0)),"")</x:f>
      </x:c>
      <x:c r="G70" s="18" t="str">
        <x:f>IFERROR(INDEX('VIP Signups'!H$5:H$204,MATCH(ROWS($A$5:A70),'VIP Signups'!$K$5:$K$204,0)),"")</x:f>
      </x:c>
    </x:row>
    <x:row r="71">
      <x:c r="A71" s="18" t="str">
        <x:f>IFERROR(INDEX('VIP Signups'!A$5:A$204,MATCH(ROWS($A$5:A71),'VIP Signups'!$K$5:$K$204,0)),"")</x:f>
      </x:c>
      <x:c r="B71" s="18" t="str">
        <x:f>IFERROR(INDEX('VIP Signups'!D$5:D$204,MATCH(ROWS($A$5:A71),'VIP Signups'!$K$5:$K$204,0)),"")</x:f>
      </x:c>
      <x:c r="C71" s="18" t="str">
        <x:f>IFERROR(INDEX('VIP Signups'!F$5:F$204,MATCH(ROWS($A$5:A71),'VIP Signups'!$K$5:$K$204,0)),"")</x:f>
      </x:c>
      <x:c r="D71" s="18" t="str">
        <x:f>IFERROR(INDEX('VIP Signups'!M$5:M$204,MATCH(ROWS($A$5:A71),'VIP Signups'!$K$5:$K$204,0)),"")</x:f>
      </x:c>
      <x:c r="E71" s="18" t="str">
        <x:f>IFERROR(INDEX('VIP Signups'!C$5:C$204,MATCH(ROWS($A$5:A71),'VIP Signups'!$K$5:$K$204,0)),"")</x:f>
      </x:c>
      <x:c r="F71" s="18" t="str">
        <x:f>IFERROR(INDEX('VIP Signups'!E$5:E$204,MATCH(ROWS($A$5:A71),'VIP Signups'!$K$5:$K$204,0)),"")</x:f>
      </x:c>
      <x:c r="G71" s="18" t="str">
        <x:f>IFERROR(INDEX('VIP Signups'!H$5:H$204,MATCH(ROWS($A$5:A71),'VIP Signups'!$K$5:$K$204,0)),"")</x:f>
      </x:c>
    </x:row>
    <x:row r="72">
      <x:c r="A72" s="18" t="str">
        <x:f>IFERROR(INDEX('VIP Signups'!A$5:A$204,MATCH(ROWS($A$5:A72),'VIP Signups'!$K$5:$K$204,0)),"")</x:f>
      </x:c>
      <x:c r="B72" s="18" t="str">
        <x:f>IFERROR(INDEX('VIP Signups'!D$5:D$204,MATCH(ROWS($A$5:A72),'VIP Signups'!$K$5:$K$204,0)),"")</x:f>
      </x:c>
      <x:c r="C72" s="18" t="str">
        <x:f>IFERROR(INDEX('VIP Signups'!F$5:F$204,MATCH(ROWS($A$5:A72),'VIP Signups'!$K$5:$K$204,0)),"")</x:f>
      </x:c>
      <x:c r="D72" s="18" t="str">
        <x:f>IFERROR(INDEX('VIP Signups'!M$5:M$204,MATCH(ROWS($A$5:A72),'VIP Signups'!$K$5:$K$204,0)),"")</x:f>
      </x:c>
      <x:c r="E72" s="18" t="str">
        <x:f>IFERROR(INDEX('VIP Signups'!C$5:C$204,MATCH(ROWS($A$5:A72),'VIP Signups'!$K$5:$K$204,0)),"")</x:f>
      </x:c>
      <x:c r="F72" s="18" t="str">
        <x:f>IFERROR(INDEX('VIP Signups'!E$5:E$204,MATCH(ROWS($A$5:A72),'VIP Signups'!$K$5:$K$204,0)),"")</x:f>
      </x:c>
      <x:c r="G72" s="18" t="str">
        <x:f>IFERROR(INDEX('VIP Signups'!H$5:H$204,MATCH(ROWS($A$5:A72),'VIP Signups'!$K$5:$K$204,0)),"")</x:f>
      </x:c>
    </x:row>
    <x:row r="73">
      <x:c r="A73" s="18" t="str">
        <x:f>IFERROR(INDEX('VIP Signups'!A$5:A$204,MATCH(ROWS($A$5:A73),'VIP Signups'!$K$5:$K$204,0)),"")</x:f>
      </x:c>
      <x:c r="B73" s="18" t="str">
        <x:f>IFERROR(INDEX('VIP Signups'!D$5:D$204,MATCH(ROWS($A$5:A73),'VIP Signups'!$K$5:$K$204,0)),"")</x:f>
      </x:c>
      <x:c r="C73" s="18" t="str">
        <x:f>IFERROR(INDEX('VIP Signups'!F$5:F$204,MATCH(ROWS($A$5:A73),'VIP Signups'!$K$5:$K$204,0)),"")</x:f>
      </x:c>
      <x:c r="D73" s="18" t="str">
        <x:f>IFERROR(INDEX('VIP Signups'!M$5:M$204,MATCH(ROWS($A$5:A73),'VIP Signups'!$K$5:$K$204,0)),"")</x:f>
      </x:c>
      <x:c r="E73" s="18" t="str">
        <x:f>IFERROR(INDEX('VIP Signups'!C$5:C$204,MATCH(ROWS($A$5:A73),'VIP Signups'!$K$5:$K$204,0)),"")</x:f>
      </x:c>
      <x:c r="F73" s="18" t="str">
        <x:f>IFERROR(INDEX('VIP Signups'!E$5:E$204,MATCH(ROWS($A$5:A73),'VIP Signups'!$K$5:$K$204,0)),"")</x:f>
      </x:c>
      <x:c r="G73" s="18" t="str">
        <x:f>IFERROR(INDEX('VIP Signups'!H$5:H$204,MATCH(ROWS($A$5:A73),'VIP Signups'!$K$5:$K$204,0)),"")</x:f>
      </x:c>
    </x:row>
    <x:row r="74">
      <x:c r="A74" s="18" t="str">
        <x:f>IFERROR(INDEX('VIP Signups'!A$5:A$204,MATCH(ROWS($A$5:A74),'VIP Signups'!$K$5:$K$204,0)),"")</x:f>
      </x:c>
      <x:c r="B74" s="18" t="str">
        <x:f>IFERROR(INDEX('VIP Signups'!D$5:D$204,MATCH(ROWS($A$5:A74),'VIP Signups'!$K$5:$K$204,0)),"")</x:f>
      </x:c>
      <x:c r="C74" s="18" t="str">
        <x:f>IFERROR(INDEX('VIP Signups'!F$5:F$204,MATCH(ROWS($A$5:A74),'VIP Signups'!$K$5:$K$204,0)),"")</x:f>
      </x:c>
      <x:c r="D74" s="18" t="str">
        <x:f>IFERROR(INDEX('VIP Signups'!M$5:M$204,MATCH(ROWS($A$5:A74),'VIP Signups'!$K$5:$K$204,0)),"")</x:f>
      </x:c>
      <x:c r="E74" s="18" t="str">
        <x:f>IFERROR(INDEX('VIP Signups'!C$5:C$204,MATCH(ROWS($A$5:A74),'VIP Signups'!$K$5:$K$204,0)),"")</x:f>
      </x:c>
      <x:c r="F74" s="18" t="str">
        <x:f>IFERROR(INDEX('VIP Signups'!E$5:E$204,MATCH(ROWS($A$5:A74),'VIP Signups'!$K$5:$K$204,0)),"")</x:f>
      </x:c>
      <x:c r="G74" s="18" t="str">
        <x:f>IFERROR(INDEX('VIP Signups'!H$5:H$204,MATCH(ROWS($A$5:A74),'VIP Signups'!$K$5:$K$204,0)),"")</x:f>
      </x:c>
    </x:row>
    <x:row r="75">
      <x:c r="A75" s="18" t="str">
        <x:f>IFERROR(INDEX('VIP Signups'!A$5:A$204,MATCH(ROWS($A$5:A75),'VIP Signups'!$K$5:$K$204,0)),"")</x:f>
      </x:c>
      <x:c r="B75" s="18" t="str">
        <x:f>IFERROR(INDEX('VIP Signups'!D$5:D$204,MATCH(ROWS($A$5:A75),'VIP Signups'!$K$5:$K$204,0)),"")</x:f>
      </x:c>
      <x:c r="C75" s="18" t="str">
        <x:f>IFERROR(INDEX('VIP Signups'!F$5:F$204,MATCH(ROWS($A$5:A75),'VIP Signups'!$K$5:$K$204,0)),"")</x:f>
      </x:c>
      <x:c r="D75" s="18" t="str">
        <x:f>IFERROR(INDEX('VIP Signups'!M$5:M$204,MATCH(ROWS($A$5:A75),'VIP Signups'!$K$5:$K$204,0)),"")</x:f>
      </x:c>
      <x:c r="E75" s="18" t="str">
        <x:f>IFERROR(INDEX('VIP Signups'!C$5:C$204,MATCH(ROWS($A$5:A75),'VIP Signups'!$K$5:$K$204,0)),"")</x:f>
      </x:c>
      <x:c r="F75" s="18" t="str">
        <x:f>IFERROR(INDEX('VIP Signups'!E$5:E$204,MATCH(ROWS($A$5:A75),'VIP Signups'!$K$5:$K$204,0)),"")</x:f>
      </x:c>
      <x:c r="G75" s="18" t="str">
        <x:f>IFERROR(INDEX('VIP Signups'!H$5:H$204,MATCH(ROWS($A$5:A75),'VIP Signups'!$K$5:$K$204,0)),"")</x:f>
      </x:c>
    </x:row>
    <x:row r="76">
      <x:c r="A76" s="18" t="str">
        <x:f>IFERROR(INDEX('VIP Signups'!A$5:A$204,MATCH(ROWS($A$5:A76),'VIP Signups'!$K$5:$K$204,0)),"")</x:f>
      </x:c>
      <x:c r="B76" s="18" t="str">
        <x:f>IFERROR(INDEX('VIP Signups'!D$5:D$204,MATCH(ROWS($A$5:A76),'VIP Signups'!$K$5:$K$204,0)),"")</x:f>
      </x:c>
      <x:c r="C76" s="18" t="str">
        <x:f>IFERROR(INDEX('VIP Signups'!F$5:F$204,MATCH(ROWS($A$5:A76),'VIP Signups'!$K$5:$K$204,0)),"")</x:f>
      </x:c>
      <x:c r="D76" s="18" t="str">
        <x:f>IFERROR(INDEX('VIP Signups'!M$5:M$204,MATCH(ROWS($A$5:A76),'VIP Signups'!$K$5:$K$204,0)),"")</x:f>
      </x:c>
      <x:c r="E76" s="18" t="str">
        <x:f>IFERROR(INDEX('VIP Signups'!C$5:C$204,MATCH(ROWS($A$5:A76),'VIP Signups'!$K$5:$K$204,0)),"")</x:f>
      </x:c>
      <x:c r="F76" s="18" t="str">
        <x:f>IFERROR(INDEX('VIP Signups'!E$5:E$204,MATCH(ROWS($A$5:A76),'VIP Signups'!$K$5:$K$204,0)),"")</x:f>
      </x:c>
      <x:c r="G76" s="18" t="str">
        <x:f>IFERROR(INDEX('VIP Signups'!H$5:H$204,MATCH(ROWS($A$5:A76),'VIP Signups'!$K$5:$K$204,0)),"")</x:f>
      </x:c>
    </x:row>
    <x:row r="77">
      <x:c r="A77" s="18" t="str">
        <x:f>IFERROR(INDEX('VIP Signups'!A$5:A$204,MATCH(ROWS($A$5:A77),'VIP Signups'!$K$5:$K$204,0)),"")</x:f>
      </x:c>
      <x:c r="B77" s="18" t="str">
        <x:f>IFERROR(INDEX('VIP Signups'!D$5:D$204,MATCH(ROWS($A$5:A77),'VIP Signups'!$K$5:$K$204,0)),"")</x:f>
      </x:c>
      <x:c r="C77" s="18" t="str">
        <x:f>IFERROR(INDEX('VIP Signups'!F$5:F$204,MATCH(ROWS($A$5:A77),'VIP Signups'!$K$5:$K$204,0)),"")</x:f>
      </x:c>
      <x:c r="D77" s="18" t="str">
        <x:f>IFERROR(INDEX('VIP Signups'!M$5:M$204,MATCH(ROWS($A$5:A77),'VIP Signups'!$K$5:$K$204,0)),"")</x:f>
      </x:c>
      <x:c r="E77" s="18" t="str">
        <x:f>IFERROR(INDEX('VIP Signups'!C$5:C$204,MATCH(ROWS($A$5:A77),'VIP Signups'!$K$5:$K$204,0)),"")</x:f>
      </x:c>
      <x:c r="F77" s="18" t="str">
        <x:f>IFERROR(INDEX('VIP Signups'!E$5:E$204,MATCH(ROWS($A$5:A77),'VIP Signups'!$K$5:$K$204,0)),"")</x:f>
      </x:c>
      <x:c r="G77" s="18" t="str">
        <x:f>IFERROR(INDEX('VIP Signups'!H$5:H$204,MATCH(ROWS($A$5:A77),'VIP Signups'!$K$5:$K$204,0)),"")</x:f>
      </x:c>
    </x:row>
    <x:row r="78">
      <x:c r="A78" s="18" t="str">
        <x:f>IFERROR(INDEX('VIP Signups'!A$5:A$204,MATCH(ROWS($A$5:A78),'VIP Signups'!$K$5:$K$204,0)),"")</x:f>
      </x:c>
      <x:c r="B78" s="18" t="str">
        <x:f>IFERROR(INDEX('VIP Signups'!D$5:D$204,MATCH(ROWS($A$5:A78),'VIP Signups'!$K$5:$K$204,0)),"")</x:f>
      </x:c>
      <x:c r="C78" s="18" t="str">
        <x:f>IFERROR(INDEX('VIP Signups'!F$5:F$204,MATCH(ROWS($A$5:A78),'VIP Signups'!$K$5:$K$204,0)),"")</x:f>
      </x:c>
      <x:c r="D78" s="18" t="str">
        <x:f>IFERROR(INDEX('VIP Signups'!M$5:M$204,MATCH(ROWS($A$5:A78),'VIP Signups'!$K$5:$K$204,0)),"")</x:f>
      </x:c>
      <x:c r="E78" s="18" t="str">
        <x:f>IFERROR(INDEX('VIP Signups'!C$5:C$204,MATCH(ROWS($A$5:A78),'VIP Signups'!$K$5:$K$204,0)),"")</x:f>
      </x:c>
      <x:c r="F78" s="18" t="str">
        <x:f>IFERROR(INDEX('VIP Signups'!E$5:E$204,MATCH(ROWS($A$5:A78),'VIP Signups'!$K$5:$K$204,0)),"")</x:f>
      </x:c>
      <x:c r="G78" s="18" t="str">
        <x:f>IFERROR(INDEX('VIP Signups'!H$5:H$204,MATCH(ROWS($A$5:A78),'VIP Signups'!$K$5:$K$204,0)),"")</x:f>
      </x:c>
    </x:row>
    <x:row r="79">
      <x:c r="A79" s="18" t="str">
        <x:f>IFERROR(INDEX('VIP Signups'!A$5:A$204,MATCH(ROWS($A$5:A79),'VIP Signups'!$K$5:$K$204,0)),"")</x:f>
      </x:c>
      <x:c r="B79" s="18" t="str">
        <x:f>IFERROR(INDEX('VIP Signups'!D$5:D$204,MATCH(ROWS($A$5:A79),'VIP Signups'!$K$5:$K$204,0)),"")</x:f>
      </x:c>
      <x:c r="C79" s="18" t="str">
        <x:f>IFERROR(INDEX('VIP Signups'!F$5:F$204,MATCH(ROWS($A$5:A79),'VIP Signups'!$K$5:$K$204,0)),"")</x:f>
      </x:c>
      <x:c r="D79" s="18" t="str">
        <x:f>IFERROR(INDEX('VIP Signups'!M$5:M$204,MATCH(ROWS($A$5:A79),'VIP Signups'!$K$5:$K$204,0)),"")</x:f>
      </x:c>
      <x:c r="E79" s="18" t="str">
        <x:f>IFERROR(INDEX('VIP Signups'!C$5:C$204,MATCH(ROWS($A$5:A79),'VIP Signups'!$K$5:$K$204,0)),"")</x:f>
      </x:c>
      <x:c r="F79" s="18" t="str">
        <x:f>IFERROR(INDEX('VIP Signups'!E$5:E$204,MATCH(ROWS($A$5:A79),'VIP Signups'!$K$5:$K$204,0)),"")</x:f>
      </x:c>
      <x:c r="G79" s="18" t="str">
        <x:f>IFERROR(INDEX('VIP Signups'!H$5:H$204,MATCH(ROWS($A$5:A79),'VIP Signups'!$K$5:$K$204,0)),"")</x:f>
      </x:c>
    </x:row>
    <x:row r="80">
      <x:c r="A80" s="18" t="str">
        <x:f>IFERROR(INDEX('VIP Signups'!A$5:A$204,MATCH(ROWS($A$5:A80),'VIP Signups'!$K$5:$K$204,0)),"")</x:f>
      </x:c>
      <x:c r="B80" s="18" t="str">
        <x:f>IFERROR(INDEX('VIP Signups'!D$5:D$204,MATCH(ROWS($A$5:A80),'VIP Signups'!$K$5:$K$204,0)),"")</x:f>
      </x:c>
      <x:c r="C80" s="18" t="str">
        <x:f>IFERROR(INDEX('VIP Signups'!F$5:F$204,MATCH(ROWS($A$5:A80),'VIP Signups'!$K$5:$K$204,0)),"")</x:f>
      </x:c>
      <x:c r="D80" s="18" t="str">
        <x:f>IFERROR(INDEX('VIP Signups'!M$5:M$204,MATCH(ROWS($A$5:A80),'VIP Signups'!$K$5:$K$204,0)),"")</x:f>
      </x:c>
      <x:c r="E80" s="18" t="str">
        <x:f>IFERROR(INDEX('VIP Signups'!C$5:C$204,MATCH(ROWS($A$5:A80),'VIP Signups'!$K$5:$K$204,0)),"")</x:f>
      </x:c>
      <x:c r="F80" s="18" t="str">
        <x:f>IFERROR(INDEX('VIP Signups'!E$5:E$204,MATCH(ROWS($A$5:A80),'VIP Signups'!$K$5:$K$204,0)),"")</x:f>
      </x:c>
      <x:c r="G80" s="18" t="str">
        <x:f>IFERROR(INDEX('VIP Signups'!H$5:H$204,MATCH(ROWS($A$5:A80),'VIP Signups'!$K$5:$K$204,0)),"")</x:f>
      </x:c>
    </x:row>
    <x:row r="81">
      <x:c r="A81" s="18" t="str">
        <x:f>IFERROR(INDEX('VIP Signups'!A$5:A$204,MATCH(ROWS($A$5:A81),'VIP Signups'!$K$5:$K$204,0)),"")</x:f>
      </x:c>
      <x:c r="B81" s="18" t="str">
        <x:f>IFERROR(INDEX('VIP Signups'!D$5:D$204,MATCH(ROWS($A$5:A81),'VIP Signups'!$K$5:$K$204,0)),"")</x:f>
      </x:c>
      <x:c r="C81" s="18" t="str">
        <x:f>IFERROR(INDEX('VIP Signups'!F$5:F$204,MATCH(ROWS($A$5:A81),'VIP Signups'!$K$5:$K$204,0)),"")</x:f>
      </x:c>
      <x:c r="D81" s="18" t="str">
        <x:f>IFERROR(INDEX('VIP Signups'!M$5:M$204,MATCH(ROWS($A$5:A81),'VIP Signups'!$K$5:$K$204,0)),"")</x:f>
      </x:c>
      <x:c r="E81" s="18" t="str">
        <x:f>IFERROR(INDEX('VIP Signups'!C$5:C$204,MATCH(ROWS($A$5:A81),'VIP Signups'!$K$5:$K$204,0)),"")</x:f>
      </x:c>
      <x:c r="F81" s="18" t="str">
        <x:f>IFERROR(INDEX('VIP Signups'!E$5:E$204,MATCH(ROWS($A$5:A81),'VIP Signups'!$K$5:$K$204,0)),"")</x:f>
      </x:c>
      <x:c r="G81" s="18" t="str">
        <x:f>IFERROR(INDEX('VIP Signups'!H$5:H$204,MATCH(ROWS($A$5:A81),'VIP Signups'!$K$5:$K$204,0)),"")</x:f>
      </x:c>
    </x:row>
    <x:row r="82">
      <x:c r="A82" s="18" t="str">
        <x:f>IFERROR(INDEX('VIP Signups'!A$5:A$204,MATCH(ROWS($A$5:A82),'VIP Signups'!$K$5:$K$204,0)),"")</x:f>
      </x:c>
      <x:c r="B82" s="18" t="str">
        <x:f>IFERROR(INDEX('VIP Signups'!D$5:D$204,MATCH(ROWS($A$5:A82),'VIP Signups'!$K$5:$K$204,0)),"")</x:f>
      </x:c>
      <x:c r="C82" s="18" t="str">
        <x:f>IFERROR(INDEX('VIP Signups'!F$5:F$204,MATCH(ROWS($A$5:A82),'VIP Signups'!$K$5:$K$204,0)),"")</x:f>
      </x:c>
      <x:c r="D82" s="18" t="str">
        <x:f>IFERROR(INDEX('VIP Signups'!M$5:M$204,MATCH(ROWS($A$5:A82),'VIP Signups'!$K$5:$K$204,0)),"")</x:f>
      </x:c>
      <x:c r="E82" s="18" t="str">
        <x:f>IFERROR(INDEX('VIP Signups'!C$5:C$204,MATCH(ROWS($A$5:A82),'VIP Signups'!$K$5:$K$204,0)),"")</x:f>
      </x:c>
      <x:c r="F82" s="18" t="str">
        <x:f>IFERROR(INDEX('VIP Signups'!E$5:E$204,MATCH(ROWS($A$5:A82),'VIP Signups'!$K$5:$K$204,0)),"")</x:f>
      </x:c>
      <x:c r="G82" s="18" t="str">
        <x:f>IFERROR(INDEX('VIP Signups'!H$5:H$204,MATCH(ROWS($A$5:A82),'VIP Signups'!$K$5:$K$204,0)),"")</x:f>
      </x:c>
    </x:row>
    <x:row r="83">
      <x:c r="A83" s="18" t="str">
        <x:f>IFERROR(INDEX('VIP Signups'!A$5:A$204,MATCH(ROWS($A$5:A83),'VIP Signups'!$K$5:$K$204,0)),"")</x:f>
      </x:c>
      <x:c r="B83" s="18" t="str">
        <x:f>IFERROR(INDEX('VIP Signups'!D$5:D$204,MATCH(ROWS($A$5:A83),'VIP Signups'!$K$5:$K$204,0)),"")</x:f>
      </x:c>
      <x:c r="C83" s="18" t="str">
        <x:f>IFERROR(INDEX('VIP Signups'!F$5:F$204,MATCH(ROWS($A$5:A83),'VIP Signups'!$K$5:$K$204,0)),"")</x:f>
      </x:c>
      <x:c r="D83" s="18" t="str">
        <x:f>IFERROR(INDEX('VIP Signups'!M$5:M$204,MATCH(ROWS($A$5:A83),'VIP Signups'!$K$5:$K$204,0)),"")</x:f>
      </x:c>
      <x:c r="E83" s="18" t="str">
        <x:f>IFERROR(INDEX('VIP Signups'!C$5:C$204,MATCH(ROWS($A$5:A83),'VIP Signups'!$K$5:$K$204,0)),"")</x:f>
      </x:c>
      <x:c r="F83" s="18" t="str">
        <x:f>IFERROR(INDEX('VIP Signups'!E$5:E$204,MATCH(ROWS($A$5:A83),'VIP Signups'!$K$5:$K$204,0)),"")</x:f>
      </x:c>
      <x:c r="G83" s="18" t="str">
        <x:f>IFERROR(INDEX('VIP Signups'!H$5:H$204,MATCH(ROWS($A$5:A83),'VIP Signups'!$K$5:$K$204,0)),"")</x:f>
      </x:c>
    </x:row>
    <x:row r="84">
      <x:c r="A84" s="18" t="str">
        <x:f>IFERROR(INDEX('VIP Signups'!A$5:A$204,MATCH(ROWS($A$5:A84),'VIP Signups'!$K$5:$K$204,0)),"")</x:f>
      </x:c>
      <x:c r="B84" s="18" t="str">
        <x:f>IFERROR(INDEX('VIP Signups'!D$5:D$204,MATCH(ROWS($A$5:A84),'VIP Signups'!$K$5:$K$204,0)),"")</x:f>
      </x:c>
      <x:c r="C84" s="18" t="str">
        <x:f>IFERROR(INDEX('VIP Signups'!F$5:F$204,MATCH(ROWS($A$5:A84),'VIP Signups'!$K$5:$K$204,0)),"")</x:f>
      </x:c>
      <x:c r="D84" s="18" t="str">
        <x:f>IFERROR(INDEX('VIP Signups'!M$5:M$204,MATCH(ROWS($A$5:A84),'VIP Signups'!$K$5:$K$204,0)),"")</x:f>
      </x:c>
      <x:c r="E84" s="18" t="str">
        <x:f>IFERROR(INDEX('VIP Signups'!C$5:C$204,MATCH(ROWS($A$5:A84),'VIP Signups'!$K$5:$K$204,0)),"")</x:f>
      </x:c>
      <x:c r="F84" s="18" t="str">
        <x:f>IFERROR(INDEX('VIP Signups'!E$5:E$204,MATCH(ROWS($A$5:A84),'VIP Signups'!$K$5:$K$204,0)),"")</x:f>
      </x:c>
      <x:c r="G84" s="18" t="str">
        <x:f>IFERROR(INDEX('VIP Signups'!H$5:H$204,MATCH(ROWS($A$5:A84),'VIP Signups'!$K$5:$K$204,0)),"")</x:f>
      </x:c>
    </x:row>
    <x:row r="85">
      <x:c r="A85" s="18" t="str">
        <x:f>IFERROR(INDEX('VIP Signups'!A$5:A$204,MATCH(ROWS($A$5:A85),'VIP Signups'!$K$5:$K$204,0)),"")</x:f>
      </x:c>
      <x:c r="B85" s="18" t="str">
        <x:f>IFERROR(INDEX('VIP Signups'!D$5:D$204,MATCH(ROWS($A$5:A85),'VIP Signups'!$K$5:$K$204,0)),"")</x:f>
      </x:c>
      <x:c r="C85" s="18" t="str">
        <x:f>IFERROR(INDEX('VIP Signups'!F$5:F$204,MATCH(ROWS($A$5:A85),'VIP Signups'!$K$5:$K$204,0)),"")</x:f>
      </x:c>
      <x:c r="D85" s="18" t="str">
        <x:f>IFERROR(INDEX('VIP Signups'!M$5:M$204,MATCH(ROWS($A$5:A85),'VIP Signups'!$K$5:$K$204,0)),"")</x:f>
      </x:c>
      <x:c r="E85" s="18" t="str">
        <x:f>IFERROR(INDEX('VIP Signups'!C$5:C$204,MATCH(ROWS($A$5:A85),'VIP Signups'!$K$5:$K$204,0)),"")</x:f>
      </x:c>
      <x:c r="F85" s="18" t="str">
        <x:f>IFERROR(INDEX('VIP Signups'!E$5:E$204,MATCH(ROWS($A$5:A85),'VIP Signups'!$K$5:$K$204,0)),"")</x:f>
      </x:c>
      <x:c r="G85" s="18" t="str">
        <x:f>IFERROR(INDEX('VIP Signups'!H$5:H$204,MATCH(ROWS($A$5:A85),'VIP Signups'!$K$5:$K$204,0)),"")</x:f>
      </x:c>
    </x:row>
    <x:row r="86">
      <x:c r="A86" s="18" t="str">
        <x:f>IFERROR(INDEX('VIP Signups'!A$5:A$204,MATCH(ROWS($A$5:A86),'VIP Signups'!$K$5:$K$204,0)),"")</x:f>
      </x:c>
      <x:c r="B86" s="18" t="str">
        <x:f>IFERROR(INDEX('VIP Signups'!D$5:D$204,MATCH(ROWS($A$5:A86),'VIP Signups'!$K$5:$K$204,0)),"")</x:f>
      </x:c>
      <x:c r="C86" s="18" t="str">
        <x:f>IFERROR(INDEX('VIP Signups'!F$5:F$204,MATCH(ROWS($A$5:A86),'VIP Signups'!$K$5:$K$204,0)),"")</x:f>
      </x:c>
      <x:c r="D86" s="18" t="str">
        <x:f>IFERROR(INDEX('VIP Signups'!M$5:M$204,MATCH(ROWS($A$5:A86),'VIP Signups'!$K$5:$K$204,0)),"")</x:f>
      </x:c>
      <x:c r="E86" s="18" t="str">
        <x:f>IFERROR(INDEX('VIP Signups'!C$5:C$204,MATCH(ROWS($A$5:A86),'VIP Signups'!$K$5:$K$204,0)),"")</x:f>
      </x:c>
      <x:c r="F86" s="18" t="str">
        <x:f>IFERROR(INDEX('VIP Signups'!E$5:E$204,MATCH(ROWS($A$5:A86),'VIP Signups'!$K$5:$K$204,0)),"")</x:f>
      </x:c>
      <x:c r="G86" s="18" t="str">
        <x:f>IFERROR(INDEX('VIP Signups'!H$5:H$204,MATCH(ROWS($A$5:A86),'VIP Signups'!$K$5:$K$204,0)),"")</x:f>
      </x:c>
    </x:row>
    <x:row r="87">
      <x:c r="A87" s="18" t="str">
        <x:f>IFERROR(INDEX('VIP Signups'!A$5:A$204,MATCH(ROWS($A$5:A87),'VIP Signups'!$K$5:$K$204,0)),"")</x:f>
      </x:c>
      <x:c r="B87" s="18" t="str">
        <x:f>IFERROR(INDEX('VIP Signups'!D$5:D$204,MATCH(ROWS($A$5:A87),'VIP Signups'!$K$5:$K$204,0)),"")</x:f>
      </x:c>
      <x:c r="C87" s="18" t="str">
        <x:f>IFERROR(INDEX('VIP Signups'!F$5:F$204,MATCH(ROWS($A$5:A87),'VIP Signups'!$K$5:$K$204,0)),"")</x:f>
      </x:c>
      <x:c r="D87" s="18" t="str">
        <x:f>IFERROR(INDEX('VIP Signups'!M$5:M$204,MATCH(ROWS($A$5:A87),'VIP Signups'!$K$5:$K$204,0)),"")</x:f>
      </x:c>
      <x:c r="E87" s="18" t="str">
        <x:f>IFERROR(INDEX('VIP Signups'!C$5:C$204,MATCH(ROWS($A$5:A87),'VIP Signups'!$K$5:$K$204,0)),"")</x:f>
      </x:c>
      <x:c r="F87" s="18" t="str">
        <x:f>IFERROR(INDEX('VIP Signups'!E$5:E$204,MATCH(ROWS($A$5:A87),'VIP Signups'!$K$5:$K$204,0)),"")</x:f>
      </x:c>
      <x:c r="G87" s="18" t="str">
        <x:f>IFERROR(INDEX('VIP Signups'!H$5:H$204,MATCH(ROWS($A$5:A87),'VIP Signups'!$K$5:$K$204,0)),"")</x:f>
      </x:c>
    </x:row>
    <x:row r="88">
      <x:c r="A88" s="18" t="str">
        <x:f>IFERROR(INDEX('VIP Signups'!A$5:A$204,MATCH(ROWS($A$5:A88),'VIP Signups'!$K$5:$K$204,0)),"")</x:f>
      </x:c>
      <x:c r="B88" s="18" t="str">
        <x:f>IFERROR(INDEX('VIP Signups'!D$5:D$204,MATCH(ROWS($A$5:A88),'VIP Signups'!$K$5:$K$204,0)),"")</x:f>
      </x:c>
      <x:c r="C88" s="18" t="str">
        <x:f>IFERROR(INDEX('VIP Signups'!F$5:F$204,MATCH(ROWS($A$5:A88),'VIP Signups'!$K$5:$K$204,0)),"")</x:f>
      </x:c>
      <x:c r="D88" s="18" t="str">
        <x:f>IFERROR(INDEX('VIP Signups'!M$5:M$204,MATCH(ROWS($A$5:A88),'VIP Signups'!$K$5:$K$204,0)),"")</x:f>
      </x:c>
      <x:c r="E88" s="18" t="str">
        <x:f>IFERROR(INDEX('VIP Signups'!C$5:C$204,MATCH(ROWS($A$5:A88),'VIP Signups'!$K$5:$K$204,0)),"")</x:f>
      </x:c>
      <x:c r="F88" s="18" t="str">
        <x:f>IFERROR(INDEX('VIP Signups'!E$5:E$204,MATCH(ROWS($A$5:A88),'VIP Signups'!$K$5:$K$204,0)),"")</x:f>
      </x:c>
      <x:c r="G88" s="18" t="str">
        <x:f>IFERROR(INDEX('VIP Signups'!H$5:H$204,MATCH(ROWS($A$5:A88),'VIP Signups'!$K$5:$K$204,0)),"")</x:f>
      </x:c>
    </x:row>
    <x:row r="89">
      <x:c r="A89" s="18" t="str">
        <x:f>IFERROR(INDEX('VIP Signups'!A$5:A$204,MATCH(ROWS($A$5:A89),'VIP Signups'!$K$5:$K$204,0)),"")</x:f>
      </x:c>
      <x:c r="B89" s="18" t="str">
        <x:f>IFERROR(INDEX('VIP Signups'!D$5:D$204,MATCH(ROWS($A$5:A89),'VIP Signups'!$K$5:$K$204,0)),"")</x:f>
      </x:c>
      <x:c r="C89" s="18" t="str">
        <x:f>IFERROR(INDEX('VIP Signups'!F$5:F$204,MATCH(ROWS($A$5:A89),'VIP Signups'!$K$5:$K$204,0)),"")</x:f>
      </x:c>
      <x:c r="D89" s="18" t="str">
        <x:f>IFERROR(INDEX('VIP Signups'!M$5:M$204,MATCH(ROWS($A$5:A89),'VIP Signups'!$K$5:$K$204,0)),"")</x:f>
      </x:c>
      <x:c r="E89" s="18" t="str">
        <x:f>IFERROR(INDEX('VIP Signups'!C$5:C$204,MATCH(ROWS($A$5:A89),'VIP Signups'!$K$5:$K$204,0)),"")</x:f>
      </x:c>
      <x:c r="F89" s="18" t="str">
        <x:f>IFERROR(INDEX('VIP Signups'!E$5:E$204,MATCH(ROWS($A$5:A89),'VIP Signups'!$K$5:$K$204,0)),"")</x:f>
      </x:c>
      <x:c r="G89" s="18" t="str">
        <x:f>IFERROR(INDEX('VIP Signups'!H$5:H$204,MATCH(ROWS($A$5:A89),'VIP Signups'!$K$5:$K$204,0)),"")</x:f>
      </x:c>
    </x:row>
    <x:row r="90">
      <x:c r="A90" s="18" t="str">
        <x:f>IFERROR(INDEX('VIP Signups'!A$5:A$204,MATCH(ROWS($A$5:A90),'VIP Signups'!$K$5:$K$204,0)),"")</x:f>
      </x:c>
      <x:c r="B90" s="18" t="str">
        <x:f>IFERROR(INDEX('VIP Signups'!D$5:D$204,MATCH(ROWS($A$5:A90),'VIP Signups'!$K$5:$K$204,0)),"")</x:f>
      </x:c>
      <x:c r="C90" s="18" t="str">
        <x:f>IFERROR(INDEX('VIP Signups'!F$5:F$204,MATCH(ROWS($A$5:A90),'VIP Signups'!$K$5:$K$204,0)),"")</x:f>
      </x:c>
      <x:c r="D90" s="18" t="str">
        <x:f>IFERROR(INDEX('VIP Signups'!M$5:M$204,MATCH(ROWS($A$5:A90),'VIP Signups'!$K$5:$K$204,0)),"")</x:f>
      </x:c>
      <x:c r="E90" s="18" t="str">
        <x:f>IFERROR(INDEX('VIP Signups'!C$5:C$204,MATCH(ROWS($A$5:A90),'VIP Signups'!$K$5:$K$204,0)),"")</x:f>
      </x:c>
      <x:c r="F90" s="18" t="str">
        <x:f>IFERROR(INDEX('VIP Signups'!E$5:E$204,MATCH(ROWS($A$5:A90),'VIP Signups'!$K$5:$K$204,0)),"")</x:f>
      </x:c>
      <x:c r="G90" s="18" t="str">
        <x:f>IFERROR(INDEX('VIP Signups'!H$5:H$204,MATCH(ROWS($A$5:A90),'VIP Signups'!$K$5:$K$204,0)),"")</x:f>
      </x:c>
    </x:row>
    <x:row r="91">
      <x:c r="A91" s="18" t="str">
        <x:f>IFERROR(INDEX('VIP Signups'!A$5:A$204,MATCH(ROWS($A$5:A91),'VIP Signups'!$K$5:$K$204,0)),"")</x:f>
      </x:c>
      <x:c r="B91" s="18" t="str">
        <x:f>IFERROR(INDEX('VIP Signups'!D$5:D$204,MATCH(ROWS($A$5:A91),'VIP Signups'!$K$5:$K$204,0)),"")</x:f>
      </x:c>
      <x:c r="C91" s="18" t="str">
        <x:f>IFERROR(INDEX('VIP Signups'!F$5:F$204,MATCH(ROWS($A$5:A91),'VIP Signups'!$K$5:$K$204,0)),"")</x:f>
      </x:c>
      <x:c r="D91" s="18" t="str">
        <x:f>IFERROR(INDEX('VIP Signups'!M$5:M$204,MATCH(ROWS($A$5:A91),'VIP Signups'!$K$5:$K$204,0)),"")</x:f>
      </x:c>
      <x:c r="E91" s="18" t="str">
        <x:f>IFERROR(INDEX('VIP Signups'!C$5:C$204,MATCH(ROWS($A$5:A91),'VIP Signups'!$K$5:$K$204,0)),"")</x:f>
      </x:c>
      <x:c r="F91" s="18" t="str">
        <x:f>IFERROR(INDEX('VIP Signups'!E$5:E$204,MATCH(ROWS($A$5:A91),'VIP Signups'!$K$5:$K$204,0)),"")</x:f>
      </x:c>
      <x:c r="G91" s="18" t="str">
        <x:f>IFERROR(INDEX('VIP Signups'!H$5:H$204,MATCH(ROWS($A$5:A91),'VIP Signups'!$K$5:$K$204,0)),"")</x:f>
      </x:c>
    </x:row>
    <x:row r="92">
      <x:c r="A92" s="18" t="str">
        <x:f>IFERROR(INDEX('VIP Signups'!A$5:A$204,MATCH(ROWS($A$5:A92),'VIP Signups'!$K$5:$K$204,0)),"")</x:f>
      </x:c>
      <x:c r="B92" s="18" t="str">
        <x:f>IFERROR(INDEX('VIP Signups'!D$5:D$204,MATCH(ROWS($A$5:A92),'VIP Signups'!$K$5:$K$204,0)),"")</x:f>
      </x:c>
      <x:c r="C92" s="18" t="str">
        <x:f>IFERROR(INDEX('VIP Signups'!F$5:F$204,MATCH(ROWS($A$5:A92),'VIP Signups'!$K$5:$K$204,0)),"")</x:f>
      </x:c>
      <x:c r="D92" s="18" t="str">
        <x:f>IFERROR(INDEX('VIP Signups'!M$5:M$204,MATCH(ROWS($A$5:A92),'VIP Signups'!$K$5:$K$204,0)),"")</x:f>
      </x:c>
      <x:c r="E92" s="18" t="str">
        <x:f>IFERROR(INDEX('VIP Signups'!C$5:C$204,MATCH(ROWS($A$5:A92),'VIP Signups'!$K$5:$K$204,0)),"")</x:f>
      </x:c>
      <x:c r="F92" s="18" t="str">
        <x:f>IFERROR(INDEX('VIP Signups'!E$5:E$204,MATCH(ROWS($A$5:A92),'VIP Signups'!$K$5:$K$204,0)),"")</x:f>
      </x:c>
      <x:c r="G92" s="18" t="str">
        <x:f>IFERROR(INDEX('VIP Signups'!H$5:H$204,MATCH(ROWS($A$5:A92),'VIP Signups'!$K$5:$K$204,0)),"")</x:f>
      </x:c>
    </x:row>
    <x:row r="93">
      <x:c r="A93" s="18" t="str">
        <x:f>IFERROR(INDEX('VIP Signups'!A$5:A$204,MATCH(ROWS($A$5:A93),'VIP Signups'!$K$5:$K$204,0)),"")</x:f>
      </x:c>
      <x:c r="B93" s="18" t="str">
        <x:f>IFERROR(INDEX('VIP Signups'!D$5:D$204,MATCH(ROWS($A$5:A93),'VIP Signups'!$K$5:$K$204,0)),"")</x:f>
      </x:c>
      <x:c r="C93" s="18" t="str">
        <x:f>IFERROR(INDEX('VIP Signups'!F$5:F$204,MATCH(ROWS($A$5:A93),'VIP Signups'!$K$5:$K$204,0)),"")</x:f>
      </x:c>
      <x:c r="D93" s="18" t="str">
        <x:f>IFERROR(INDEX('VIP Signups'!M$5:M$204,MATCH(ROWS($A$5:A93),'VIP Signups'!$K$5:$K$204,0)),"")</x:f>
      </x:c>
      <x:c r="E93" s="18" t="str">
        <x:f>IFERROR(INDEX('VIP Signups'!C$5:C$204,MATCH(ROWS($A$5:A93),'VIP Signups'!$K$5:$K$204,0)),"")</x:f>
      </x:c>
      <x:c r="F93" s="18" t="str">
        <x:f>IFERROR(INDEX('VIP Signups'!E$5:E$204,MATCH(ROWS($A$5:A93),'VIP Signups'!$K$5:$K$204,0)),"")</x:f>
      </x:c>
      <x:c r="G93" s="18" t="str">
        <x:f>IFERROR(INDEX('VIP Signups'!H$5:H$204,MATCH(ROWS($A$5:A93),'VIP Signups'!$K$5:$K$204,0)),"")</x:f>
      </x:c>
    </x:row>
    <x:row r="94">
      <x:c r="A94" s="18" t="str">
        <x:f>IFERROR(INDEX('VIP Signups'!A$5:A$204,MATCH(ROWS($A$5:A94),'VIP Signups'!$K$5:$K$204,0)),"")</x:f>
      </x:c>
      <x:c r="B94" s="18" t="str">
        <x:f>IFERROR(INDEX('VIP Signups'!D$5:D$204,MATCH(ROWS($A$5:A94),'VIP Signups'!$K$5:$K$204,0)),"")</x:f>
      </x:c>
      <x:c r="C94" s="18" t="str">
        <x:f>IFERROR(INDEX('VIP Signups'!F$5:F$204,MATCH(ROWS($A$5:A94),'VIP Signups'!$K$5:$K$204,0)),"")</x:f>
      </x:c>
      <x:c r="D94" s="18" t="str">
        <x:f>IFERROR(INDEX('VIP Signups'!M$5:M$204,MATCH(ROWS($A$5:A94),'VIP Signups'!$K$5:$K$204,0)),"")</x:f>
      </x:c>
      <x:c r="E94" s="18" t="str">
        <x:f>IFERROR(INDEX('VIP Signups'!C$5:C$204,MATCH(ROWS($A$5:A94),'VIP Signups'!$K$5:$K$204,0)),"")</x:f>
      </x:c>
      <x:c r="F94" s="18" t="str">
        <x:f>IFERROR(INDEX('VIP Signups'!E$5:E$204,MATCH(ROWS($A$5:A94),'VIP Signups'!$K$5:$K$204,0)),"")</x:f>
      </x:c>
      <x:c r="G94" s="18" t="str">
        <x:f>IFERROR(INDEX('VIP Signups'!H$5:H$204,MATCH(ROWS($A$5:A94),'VIP Signups'!$K$5:$K$204,0)),"")</x:f>
      </x:c>
    </x:row>
    <x:row r="95">
      <x:c r="A95" s="18" t="str">
        <x:f>IFERROR(INDEX('VIP Signups'!A$5:A$204,MATCH(ROWS($A$5:A95),'VIP Signups'!$K$5:$K$204,0)),"")</x:f>
      </x:c>
      <x:c r="B95" s="18" t="str">
        <x:f>IFERROR(INDEX('VIP Signups'!D$5:D$204,MATCH(ROWS($A$5:A95),'VIP Signups'!$K$5:$K$204,0)),"")</x:f>
      </x:c>
      <x:c r="C95" s="18" t="str">
        <x:f>IFERROR(INDEX('VIP Signups'!F$5:F$204,MATCH(ROWS($A$5:A95),'VIP Signups'!$K$5:$K$204,0)),"")</x:f>
      </x:c>
      <x:c r="D95" s="18" t="str">
        <x:f>IFERROR(INDEX('VIP Signups'!M$5:M$204,MATCH(ROWS($A$5:A95),'VIP Signups'!$K$5:$K$204,0)),"")</x:f>
      </x:c>
      <x:c r="E95" s="18" t="str">
        <x:f>IFERROR(INDEX('VIP Signups'!C$5:C$204,MATCH(ROWS($A$5:A95),'VIP Signups'!$K$5:$K$204,0)),"")</x:f>
      </x:c>
      <x:c r="F95" s="18" t="str">
        <x:f>IFERROR(INDEX('VIP Signups'!E$5:E$204,MATCH(ROWS($A$5:A95),'VIP Signups'!$K$5:$K$204,0)),"")</x:f>
      </x:c>
      <x:c r="G95" s="18" t="str">
        <x:f>IFERROR(INDEX('VIP Signups'!H$5:H$204,MATCH(ROWS($A$5:A95),'VIP Signups'!$K$5:$K$204,0)),"")</x:f>
      </x:c>
    </x:row>
    <x:row r="96">
      <x:c r="A96" s="18" t="str">
        <x:f>IFERROR(INDEX('VIP Signups'!A$5:A$204,MATCH(ROWS($A$5:A96),'VIP Signups'!$K$5:$K$204,0)),"")</x:f>
      </x:c>
      <x:c r="B96" s="18" t="str">
        <x:f>IFERROR(INDEX('VIP Signups'!D$5:D$204,MATCH(ROWS($A$5:A96),'VIP Signups'!$K$5:$K$204,0)),"")</x:f>
      </x:c>
      <x:c r="C96" s="18" t="str">
        <x:f>IFERROR(INDEX('VIP Signups'!F$5:F$204,MATCH(ROWS($A$5:A96),'VIP Signups'!$K$5:$K$204,0)),"")</x:f>
      </x:c>
      <x:c r="D96" s="18" t="str">
        <x:f>IFERROR(INDEX('VIP Signups'!M$5:M$204,MATCH(ROWS($A$5:A96),'VIP Signups'!$K$5:$K$204,0)),"")</x:f>
      </x:c>
      <x:c r="E96" s="18" t="str">
        <x:f>IFERROR(INDEX('VIP Signups'!C$5:C$204,MATCH(ROWS($A$5:A96),'VIP Signups'!$K$5:$K$204,0)),"")</x:f>
      </x:c>
      <x:c r="F96" s="18" t="str">
        <x:f>IFERROR(INDEX('VIP Signups'!E$5:E$204,MATCH(ROWS($A$5:A96),'VIP Signups'!$K$5:$K$204,0)),"")</x:f>
      </x:c>
      <x:c r="G96" s="18" t="str">
        <x:f>IFERROR(INDEX('VIP Signups'!H$5:H$204,MATCH(ROWS($A$5:A96),'VIP Signups'!$K$5:$K$204,0)),"")</x:f>
      </x:c>
    </x:row>
    <x:row r="97">
      <x:c r="A97" s="18" t="str">
        <x:f>IFERROR(INDEX('VIP Signups'!A$5:A$204,MATCH(ROWS($A$5:A97),'VIP Signups'!$K$5:$K$204,0)),"")</x:f>
      </x:c>
      <x:c r="B97" s="18" t="str">
        <x:f>IFERROR(INDEX('VIP Signups'!D$5:D$204,MATCH(ROWS($A$5:A97),'VIP Signups'!$K$5:$K$204,0)),"")</x:f>
      </x:c>
      <x:c r="C97" s="18" t="str">
        <x:f>IFERROR(INDEX('VIP Signups'!F$5:F$204,MATCH(ROWS($A$5:A97),'VIP Signups'!$K$5:$K$204,0)),"")</x:f>
      </x:c>
      <x:c r="D97" s="18" t="str">
        <x:f>IFERROR(INDEX('VIP Signups'!M$5:M$204,MATCH(ROWS($A$5:A97),'VIP Signups'!$K$5:$K$204,0)),"")</x:f>
      </x:c>
      <x:c r="E97" s="18" t="str">
        <x:f>IFERROR(INDEX('VIP Signups'!C$5:C$204,MATCH(ROWS($A$5:A97),'VIP Signups'!$K$5:$K$204,0)),"")</x:f>
      </x:c>
      <x:c r="F97" s="18" t="str">
        <x:f>IFERROR(INDEX('VIP Signups'!E$5:E$204,MATCH(ROWS($A$5:A97),'VIP Signups'!$K$5:$K$204,0)),"")</x:f>
      </x:c>
      <x:c r="G97" s="18" t="str">
        <x:f>IFERROR(INDEX('VIP Signups'!H$5:H$204,MATCH(ROWS($A$5:A97),'VIP Signups'!$K$5:$K$204,0)),"")</x:f>
      </x:c>
    </x:row>
    <x:row r="98">
      <x:c r="A98" s="18" t="str">
        <x:f>IFERROR(INDEX('VIP Signups'!A$5:A$204,MATCH(ROWS($A$5:A98),'VIP Signups'!$K$5:$K$204,0)),"")</x:f>
      </x:c>
      <x:c r="B98" s="18" t="str">
        <x:f>IFERROR(INDEX('VIP Signups'!D$5:D$204,MATCH(ROWS($A$5:A98),'VIP Signups'!$K$5:$K$204,0)),"")</x:f>
      </x:c>
      <x:c r="C98" s="18" t="str">
        <x:f>IFERROR(INDEX('VIP Signups'!F$5:F$204,MATCH(ROWS($A$5:A98),'VIP Signups'!$K$5:$K$204,0)),"")</x:f>
      </x:c>
      <x:c r="D98" s="18" t="str">
        <x:f>IFERROR(INDEX('VIP Signups'!M$5:M$204,MATCH(ROWS($A$5:A98),'VIP Signups'!$K$5:$K$204,0)),"")</x:f>
      </x:c>
      <x:c r="E98" s="18" t="str">
        <x:f>IFERROR(INDEX('VIP Signups'!C$5:C$204,MATCH(ROWS($A$5:A98),'VIP Signups'!$K$5:$K$204,0)),"")</x:f>
      </x:c>
      <x:c r="F98" s="18" t="str">
        <x:f>IFERROR(INDEX('VIP Signups'!E$5:E$204,MATCH(ROWS($A$5:A98),'VIP Signups'!$K$5:$K$204,0)),"")</x:f>
      </x:c>
      <x:c r="G98" s="18" t="str">
        <x:f>IFERROR(INDEX('VIP Signups'!H$5:H$204,MATCH(ROWS($A$5:A98),'VIP Signups'!$K$5:$K$204,0)),"")</x:f>
      </x:c>
    </x:row>
    <x:row r="99">
      <x:c r="A99" s="18" t="str">
        <x:f>IFERROR(INDEX('VIP Signups'!A$5:A$204,MATCH(ROWS($A$5:A99),'VIP Signups'!$K$5:$K$204,0)),"")</x:f>
      </x:c>
      <x:c r="B99" s="18" t="str">
        <x:f>IFERROR(INDEX('VIP Signups'!D$5:D$204,MATCH(ROWS($A$5:A99),'VIP Signups'!$K$5:$K$204,0)),"")</x:f>
      </x:c>
      <x:c r="C99" s="18" t="str">
        <x:f>IFERROR(INDEX('VIP Signups'!F$5:F$204,MATCH(ROWS($A$5:A99),'VIP Signups'!$K$5:$K$204,0)),"")</x:f>
      </x:c>
      <x:c r="D99" s="18" t="str">
        <x:f>IFERROR(INDEX('VIP Signups'!M$5:M$204,MATCH(ROWS($A$5:A99),'VIP Signups'!$K$5:$K$204,0)),"")</x:f>
      </x:c>
      <x:c r="E99" s="18" t="str">
        <x:f>IFERROR(INDEX('VIP Signups'!C$5:C$204,MATCH(ROWS($A$5:A99),'VIP Signups'!$K$5:$K$204,0)),"")</x:f>
      </x:c>
      <x:c r="F99" s="18" t="str">
        <x:f>IFERROR(INDEX('VIP Signups'!E$5:E$204,MATCH(ROWS($A$5:A99),'VIP Signups'!$K$5:$K$204,0)),"")</x:f>
      </x:c>
      <x:c r="G99" s="18" t="str">
        <x:f>IFERROR(INDEX('VIP Signups'!H$5:H$204,MATCH(ROWS($A$5:A99),'VIP Signups'!$K$5:$K$204,0)),"")</x:f>
      </x:c>
    </x:row>
    <x:row r="100">
      <x:c r="A100" s="18" t="str">
        <x:f>IFERROR(INDEX('VIP Signups'!A$5:A$204,MATCH(ROWS($A$5:A100),'VIP Signups'!$K$5:$K$204,0)),"")</x:f>
      </x:c>
      <x:c r="B100" s="18" t="str">
        <x:f>IFERROR(INDEX('VIP Signups'!D$5:D$204,MATCH(ROWS($A$5:A100),'VIP Signups'!$K$5:$K$204,0)),"")</x:f>
      </x:c>
      <x:c r="C100" s="18" t="str">
        <x:f>IFERROR(INDEX('VIP Signups'!F$5:F$204,MATCH(ROWS($A$5:A100),'VIP Signups'!$K$5:$K$204,0)),"")</x:f>
      </x:c>
      <x:c r="D100" s="18" t="str">
        <x:f>IFERROR(INDEX('VIP Signups'!M$5:M$204,MATCH(ROWS($A$5:A100),'VIP Signups'!$K$5:$K$204,0)),"")</x:f>
      </x:c>
      <x:c r="E100" s="18" t="str">
        <x:f>IFERROR(INDEX('VIP Signups'!C$5:C$204,MATCH(ROWS($A$5:A100),'VIP Signups'!$K$5:$K$204,0)),"")</x:f>
      </x:c>
      <x:c r="F100" s="18" t="str">
        <x:f>IFERROR(INDEX('VIP Signups'!E$5:E$204,MATCH(ROWS($A$5:A100),'VIP Signups'!$K$5:$K$204,0)),"")</x:f>
      </x:c>
      <x:c r="G100" s="18" t="str">
        <x:f>IFERROR(INDEX('VIP Signups'!H$5:H$204,MATCH(ROWS($A$5:A100),'VIP Signups'!$K$5:$K$204,0)),"")</x:f>
      </x:c>
    </x:row>
    <x:row r="101">
      <x:c r="A101" s="18" t="str">
        <x:f>IFERROR(INDEX('VIP Signups'!A$5:A$204,MATCH(ROWS($A$5:A101),'VIP Signups'!$K$5:$K$204,0)),"")</x:f>
      </x:c>
      <x:c r="B101" s="18" t="str">
        <x:f>IFERROR(INDEX('VIP Signups'!D$5:D$204,MATCH(ROWS($A$5:A101),'VIP Signups'!$K$5:$K$204,0)),"")</x:f>
      </x:c>
      <x:c r="C101" s="18" t="str">
        <x:f>IFERROR(INDEX('VIP Signups'!F$5:F$204,MATCH(ROWS($A$5:A101),'VIP Signups'!$K$5:$K$204,0)),"")</x:f>
      </x:c>
      <x:c r="D101" s="18" t="str">
        <x:f>IFERROR(INDEX('VIP Signups'!M$5:M$204,MATCH(ROWS($A$5:A101),'VIP Signups'!$K$5:$K$204,0)),"")</x:f>
      </x:c>
      <x:c r="E101" s="18" t="str">
        <x:f>IFERROR(INDEX('VIP Signups'!C$5:C$204,MATCH(ROWS($A$5:A101),'VIP Signups'!$K$5:$K$204,0)),"")</x:f>
      </x:c>
      <x:c r="F101" s="18" t="str">
        <x:f>IFERROR(INDEX('VIP Signups'!E$5:E$204,MATCH(ROWS($A$5:A101),'VIP Signups'!$K$5:$K$204,0)),"")</x:f>
      </x:c>
      <x:c r="G101" s="18" t="str">
        <x:f>IFERROR(INDEX('VIP Signups'!H$5:H$204,MATCH(ROWS($A$5:A101),'VIP Signups'!$K$5:$K$204,0)),"")</x:f>
      </x:c>
    </x:row>
    <x:row r="102">
      <x:c r="A102" s="18" t="str">
        <x:f>IFERROR(INDEX('VIP Signups'!A$5:A$204,MATCH(ROWS($A$5:A102),'VIP Signups'!$K$5:$K$204,0)),"")</x:f>
      </x:c>
      <x:c r="B102" s="18" t="str">
        <x:f>IFERROR(INDEX('VIP Signups'!D$5:D$204,MATCH(ROWS($A$5:A102),'VIP Signups'!$K$5:$K$204,0)),"")</x:f>
      </x:c>
      <x:c r="C102" s="18" t="str">
        <x:f>IFERROR(INDEX('VIP Signups'!F$5:F$204,MATCH(ROWS($A$5:A102),'VIP Signups'!$K$5:$K$204,0)),"")</x:f>
      </x:c>
      <x:c r="D102" s="18" t="str">
        <x:f>IFERROR(INDEX('VIP Signups'!M$5:M$204,MATCH(ROWS($A$5:A102),'VIP Signups'!$K$5:$K$204,0)),"")</x:f>
      </x:c>
      <x:c r="E102" s="18" t="str">
        <x:f>IFERROR(INDEX('VIP Signups'!C$5:C$204,MATCH(ROWS($A$5:A102),'VIP Signups'!$K$5:$K$204,0)),"")</x:f>
      </x:c>
      <x:c r="F102" s="18" t="str">
        <x:f>IFERROR(INDEX('VIP Signups'!E$5:E$204,MATCH(ROWS($A$5:A102),'VIP Signups'!$K$5:$K$204,0)),"")</x:f>
      </x:c>
      <x:c r="G102" s="18" t="str">
        <x:f>IFERROR(INDEX('VIP Signups'!H$5:H$204,MATCH(ROWS($A$5:A102),'VIP Signups'!$K$5:$K$204,0)),"")</x:f>
      </x:c>
    </x:row>
    <x:row r="103">
      <x:c r="A103" s="18" t="str">
        <x:f>IFERROR(INDEX('VIP Signups'!A$5:A$204,MATCH(ROWS($A$5:A103),'VIP Signups'!$K$5:$K$204,0)),"")</x:f>
      </x:c>
      <x:c r="B103" s="18" t="str">
        <x:f>IFERROR(INDEX('VIP Signups'!D$5:D$204,MATCH(ROWS($A$5:A103),'VIP Signups'!$K$5:$K$204,0)),"")</x:f>
      </x:c>
      <x:c r="C103" s="18" t="str">
        <x:f>IFERROR(INDEX('VIP Signups'!F$5:F$204,MATCH(ROWS($A$5:A103),'VIP Signups'!$K$5:$K$204,0)),"")</x:f>
      </x:c>
      <x:c r="D103" s="18" t="str">
        <x:f>IFERROR(INDEX('VIP Signups'!M$5:M$204,MATCH(ROWS($A$5:A103),'VIP Signups'!$K$5:$K$204,0)),"")</x:f>
      </x:c>
      <x:c r="E103" s="18" t="str">
        <x:f>IFERROR(INDEX('VIP Signups'!C$5:C$204,MATCH(ROWS($A$5:A103),'VIP Signups'!$K$5:$K$204,0)),"")</x:f>
      </x:c>
      <x:c r="F103" s="18" t="str">
        <x:f>IFERROR(INDEX('VIP Signups'!E$5:E$204,MATCH(ROWS($A$5:A103),'VIP Signups'!$K$5:$K$204,0)),"")</x:f>
      </x:c>
      <x:c r="G103" s="18" t="str">
        <x:f>IFERROR(INDEX('VIP Signups'!H$5:H$204,MATCH(ROWS($A$5:A103),'VIP Signups'!$K$5:$K$204,0)),"")</x:f>
      </x:c>
    </x:row>
    <x:row r="104">
      <x:c r="A104" s="18" t="str">
        <x:f>IFERROR(INDEX('VIP Signups'!A$5:A$204,MATCH(ROWS($A$5:A104),'VIP Signups'!$K$5:$K$204,0)),"")</x:f>
      </x:c>
      <x:c r="B104" s="18" t="str">
        <x:f>IFERROR(INDEX('VIP Signups'!D$5:D$204,MATCH(ROWS($A$5:A104),'VIP Signups'!$K$5:$K$204,0)),"")</x:f>
      </x:c>
      <x:c r="C104" s="18" t="str">
        <x:f>IFERROR(INDEX('VIP Signups'!F$5:F$204,MATCH(ROWS($A$5:A104),'VIP Signups'!$K$5:$K$204,0)),"")</x:f>
      </x:c>
      <x:c r="D104" s="18" t="str">
        <x:f>IFERROR(INDEX('VIP Signups'!M$5:M$204,MATCH(ROWS($A$5:A104),'VIP Signups'!$K$5:$K$204,0)),"")</x:f>
      </x:c>
      <x:c r="E104" s="18" t="str">
        <x:f>IFERROR(INDEX('VIP Signups'!C$5:C$204,MATCH(ROWS($A$5:A104),'VIP Signups'!$K$5:$K$204,0)),"")</x:f>
      </x:c>
      <x:c r="F104" s="18" t="str">
        <x:f>IFERROR(INDEX('VIP Signups'!E$5:E$204,MATCH(ROWS($A$5:A104),'VIP Signups'!$K$5:$K$204,0)),"")</x:f>
      </x:c>
      <x:c r="G104" s="18" t="str">
        <x:f>IFERROR(INDEX('VIP Signups'!H$5:H$204,MATCH(ROWS($A$5:A104),'VIP Signups'!$K$5:$K$204,0)),"")</x:f>
      </x:c>
    </x:row>
    <x:row r="105">
      <x:c r="A105" s="18" t="str">
        <x:f>IFERROR(INDEX('VIP Signups'!A$5:A$204,MATCH(ROWS($A$5:A105),'VIP Signups'!$K$5:$K$204,0)),"")</x:f>
      </x:c>
      <x:c r="B105" s="18" t="str">
        <x:f>IFERROR(INDEX('VIP Signups'!D$5:D$204,MATCH(ROWS($A$5:A105),'VIP Signups'!$K$5:$K$204,0)),"")</x:f>
      </x:c>
      <x:c r="C105" s="18" t="str">
        <x:f>IFERROR(INDEX('VIP Signups'!F$5:F$204,MATCH(ROWS($A$5:A105),'VIP Signups'!$K$5:$K$204,0)),"")</x:f>
      </x:c>
      <x:c r="D105" s="18" t="str">
        <x:f>IFERROR(INDEX('VIP Signups'!M$5:M$204,MATCH(ROWS($A$5:A105),'VIP Signups'!$K$5:$K$204,0)),"")</x:f>
      </x:c>
      <x:c r="E105" s="18" t="str">
        <x:f>IFERROR(INDEX('VIP Signups'!C$5:C$204,MATCH(ROWS($A$5:A105),'VIP Signups'!$K$5:$K$204,0)),"")</x:f>
      </x:c>
      <x:c r="F105" s="18" t="str">
        <x:f>IFERROR(INDEX('VIP Signups'!E$5:E$204,MATCH(ROWS($A$5:A105),'VIP Signups'!$K$5:$K$204,0)),"")</x:f>
      </x:c>
      <x:c r="G105" s="18" t="str">
        <x:f>IFERROR(INDEX('VIP Signups'!H$5:H$204,MATCH(ROWS($A$5:A105),'VIP Signups'!$K$5:$K$204,0)),"")</x:f>
      </x:c>
    </x:row>
    <x:row r="106">
      <x:c r="A106" s="18" t="str">
        <x:f>IFERROR(INDEX('VIP Signups'!A$5:A$204,MATCH(ROWS($A$5:A106),'VIP Signups'!$K$5:$K$204,0)),"")</x:f>
      </x:c>
      <x:c r="B106" s="18" t="str">
        <x:f>IFERROR(INDEX('VIP Signups'!D$5:D$204,MATCH(ROWS($A$5:A106),'VIP Signups'!$K$5:$K$204,0)),"")</x:f>
      </x:c>
      <x:c r="C106" s="18" t="str">
        <x:f>IFERROR(INDEX('VIP Signups'!F$5:F$204,MATCH(ROWS($A$5:A106),'VIP Signups'!$K$5:$K$204,0)),"")</x:f>
      </x:c>
      <x:c r="D106" s="18" t="str">
        <x:f>IFERROR(INDEX('VIP Signups'!M$5:M$204,MATCH(ROWS($A$5:A106),'VIP Signups'!$K$5:$K$204,0)),"")</x:f>
      </x:c>
      <x:c r="E106" s="18" t="str">
        <x:f>IFERROR(INDEX('VIP Signups'!C$5:C$204,MATCH(ROWS($A$5:A106),'VIP Signups'!$K$5:$K$204,0)),"")</x:f>
      </x:c>
      <x:c r="F106" s="18" t="str">
        <x:f>IFERROR(INDEX('VIP Signups'!E$5:E$204,MATCH(ROWS($A$5:A106),'VIP Signups'!$K$5:$K$204,0)),"")</x:f>
      </x:c>
      <x:c r="G106" s="18" t="str">
        <x:f>IFERROR(INDEX('VIP Signups'!H$5:H$204,MATCH(ROWS($A$5:A106),'VIP Signups'!$K$5:$K$204,0)),"")</x:f>
      </x:c>
    </x:row>
    <x:row r="107">
      <x:c r="A107" s="18" t="str">
        <x:f>IFERROR(INDEX('VIP Signups'!A$5:A$204,MATCH(ROWS($A$5:A107),'VIP Signups'!$K$5:$K$204,0)),"")</x:f>
      </x:c>
      <x:c r="B107" s="18" t="str">
        <x:f>IFERROR(INDEX('VIP Signups'!D$5:D$204,MATCH(ROWS($A$5:A107),'VIP Signups'!$K$5:$K$204,0)),"")</x:f>
      </x:c>
      <x:c r="C107" s="18" t="str">
        <x:f>IFERROR(INDEX('VIP Signups'!F$5:F$204,MATCH(ROWS($A$5:A107),'VIP Signups'!$K$5:$K$204,0)),"")</x:f>
      </x:c>
      <x:c r="D107" s="18" t="str">
        <x:f>IFERROR(INDEX('VIP Signups'!M$5:M$204,MATCH(ROWS($A$5:A107),'VIP Signups'!$K$5:$K$204,0)),"")</x:f>
      </x:c>
      <x:c r="E107" s="18" t="str">
        <x:f>IFERROR(INDEX('VIP Signups'!C$5:C$204,MATCH(ROWS($A$5:A107),'VIP Signups'!$K$5:$K$204,0)),"")</x:f>
      </x:c>
      <x:c r="F107" s="18" t="str">
        <x:f>IFERROR(INDEX('VIP Signups'!E$5:E$204,MATCH(ROWS($A$5:A107),'VIP Signups'!$K$5:$K$204,0)),"")</x:f>
      </x:c>
      <x:c r="G107" s="18" t="str">
        <x:f>IFERROR(INDEX('VIP Signups'!H$5:H$204,MATCH(ROWS($A$5:A107),'VIP Signups'!$K$5:$K$204,0)),"")</x:f>
      </x:c>
    </x:row>
    <x:row r="108">
      <x:c r="A108" s="18" t="str">
        <x:f>IFERROR(INDEX('VIP Signups'!A$5:A$204,MATCH(ROWS($A$5:A108),'VIP Signups'!$K$5:$K$204,0)),"")</x:f>
      </x:c>
      <x:c r="B108" s="18" t="str">
        <x:f>IFERROR(INDEX('VIP Signups'!D$5:D$204,MATCH(ROWS($A$5:A108),'VIP Signups'!$K$5:$K$204,0)),"")</x:f>
      </x:c>
      <x:c r="C108" s="18" t="str">
        <x:f>IFERROR(INDEX('VIP Signups'!F$5:F$204,MATCH(ROWS($A$5:A108),'VIP Signups'!$K$5:$K$204,0)),"")</x:f>
      </x:c>
      <x:c r="D108" s="18" t="str">
        <x:f>IFERROR(INDEX('VIP Signups'!M$5:M$204,MATCH(ROWS($A$5:A108),'VIP Signups'!$K$5:$K$204,0)),"")</x:f>
      </x:c>
      <x:c r="E108" s="18" t="str">
        <x:f>IFERROR(INDEX('VIP Signups'!C$5:C$204,MATCH(ROWS($A$5:A108),'VIP Signups'!$K$5:$K$204,0)),"")</x:f>
      </x:c>
      <x:c r="F108" s="18" t="str">
        <x:f>IFERROR(INDEX('VIP Signups'!E$5:E$204,MATCH(ROWS($A$5:A108),'VIP Signups'!$K$5:$K$204,0)),"")</x:f>
      </x:c>
      <x:c r="G108" s="18" t="str">
        <x:f>IFERROR(INDEX('VIP Signups'!H$5:H$204,MATCH(ROWS($A$5:A108),'VIP Signups'!$K$5:$K$204,0)),"")</x:f>
      </x:c>
    </x:row>
    <x:row r="109">
      <x:c r="A109" s="18" t="str">
        <x:f>IFERROR(INDEX('VIP Signups'!A$5:A$204,MATCH(ROWS($A$5:A109),'VIP Signups'!$K$5:$K$204,0)),"")</x:f>
      </x:c>
      <x:c r="B109" s="18" t="str">
        <x:f>IFERROR(INDEX('VIP Signups'!D$5:D$204,MATCH(ROWS($A$5:A109),'VIP Signups'!$K$5:$K$204,0)),"")</x:f>
      </x:c>
      <x:c r="C109" s="18" t="str">
        <x:f>IFERROR(INDEX('VIP Signups'!F$5:F$204,MATCH(ROWS($A$5:A109),'VIP Signups'!$K$5:$K$204,0)),"")</x:f>
      </x:c>
      <x:c r="D109" s="18" t="str">
        <x:f>IFERROR(INDEX('VIP Signups'!M$5:M$204,MATCH(ROWS($A$5:A109),'VIP Signups'!$K$5:$K$204,0)),"")</x:f>
      </x:c>
      <x:c r="E109" s="18" t="str">
        <x:f>IFERROR(INDEX('VIP Signups'!C$5:C$204,MATCH(ROWS($A$5:A109),'VIP Signups'!$K$5:$K$204,0)),"")</x:f>
      </x:c>
      <x:c r="F109" s="18" t="str">
        <x:f>IFERROR(INDEX('VIP Signups'!E$5:E$204,MATCH(ROWS($A$5:A109),'VIP Signups'!$K$5:$K$204,0)),"")</x:f>
      </x:c>
      <x:c r="G109" s="18" t="str">
        <x:f>IFERROR(INDEX('VIP Signups'!H$5:H$204,MATCH(ROWS($A$5:A109),'VIP Signups'!$K$5:$K$204,0)),"")</x:f>
      </x:c>
    </x:row>
    <x:row r="110">
      <x:c r="A110" s="18" t="str">
        <x:f>IFERROR(INDEX('VIP Signups'!A$5:A$204,MATCH(ROWS($A$5:A110),'VIP Signups'!$K$5:$K$204,0)),"")</x:f>
      </x:c>
      <x:c r="B110" s="18" t="str">
        <x:f>IFERROR(INDEX('VIP Signups'!D$5:D$204,MATCH(ROWS($A$5:A110),'VIP Signups'!$K$5:$K$204,0)),"")</x:f>
      </x:c>
      <x:c r="C110" s="18" t="str">
        <x:f>IFERROR(INDEX('VIP Signups'!F$5:F$204,MATCH(ROWS($A$5:A110),'VIP Signups'!$K$5:$K$204,0)),"")</x:f>
      </x:c>
      <x:c r="D110" s="18" t="str">
        <x:f>IFERROR(INDEX('VIP Signups'!M$5:M$204,MATCH(ROWS($A$5:A110),'VIP Signups'!$K$5:$K$204,0)),"")</x:f>
      </x:c>
      <x:c r="E110" s="18" t="str">
        <x:f>IFERROR(INDEX('VIP Signups'!C$5:C$204,MATCH(ROWS($A$5:A110),'VIP Signups'!$K$5:$K$204,0)),"")</x:f>
      </x:c>
      <x:c r="F110" s="18" t="str">
        <x:f>IFERROR(INDEX('VIP Signups'!E$5:E$204,MATCH(ROWS($A$5:A110),'VIP Signups'!$K$5:$K$204,0)),"")</x:f>
      </x:c>
      <x:c r="G110" s="18" t="str">
        <x:f>IFERROR(INDEX('VIP Signups'!H$5:H$204,MATCH(ROWS($A$5:A110),'VIP Signups'!$K$5:$K$204,0)),"")</x:f>
      </x:c>
    </x:row>
    <x:row r="111">
      <x:c r="A111" s="18" t="str">
        <x:f>IFERROR(INDEX('VIP Signups'!A$5:A$204,MATCH(ROWS($A$5:A111),'VIP Signups'!$K$5:$K$204,0)),"")</x:f>
      </x:c>
      <x:c r="B111" s="18" t="str">
        <x:f>IFERROR(INDEX('VIP Signups'!D$5:D$204,MATCH(ROWS($A$5:A111),'VIP Signups'!$K$5:$K$204,0)),"")</x:f>
      </x:c>
      <x:c r="C111" s="18" t="str">
        <x:f>IFERROR(INDEX('VIP Signups'!F$5:F$204,MATCH(ROWS($A$5:A111),'VIP Signups'!$K$5:$K$204,0)),"")</x:f>
      </x:c>
      <x:c r="D111" s="18" t="str">
        <x:f>IFERROR(INDEX('VIP Signups'!M$5:M$204,MATCH(ROWS($A$5:A111),'VIP Signups'!$K$5:$K$204,0)),"")</x:f>
      </x:c>
      <x:c r="E111" s="18" t="str">
        <x:f>IFERROR(INDEX('VIP Signups'!C$5:C$204,MATCH(ROWS($A$5:A111),'VIP Signups'!$K$5:$K$204,0)),"")</x:f>
      </x:c>
      <x:c r="F111" s="18" t="str">
        <x:f>IFERROR(INDEX('VIP Signups'!E$5:E$204,MATCH(ROWS($A$5:A111),'VIP Signups'!$K$5:$K$204,0)),"")</x:f>
      </x:c>
      <x:c r="G111" s="18" t="str">
        <x:f>IFERROR(INDEX('VIP Signups'!H$5:H$204,MATCH(ROWS($A$5:A111),'VIP Signups'!$K$5:$K$204,0)),"")</x:f>
      </x:c>
    </x:row>
    <x:row r="112">
      <x:c r="A112" s="18" t="str">
        <x:f>IFERROR(INDEX('VIP Signups'!A$5:A$204,MATCH(ROWS($A$5:A112),'VIP Signups'!$K$5:$K$204,0)),"")</x:f>
      </x:c>
      <x:c r="B112" s="18" t="str">
        <x:f>IFERROR(INDEX('VIP Signups'!D$5:D$204,MATCH(ROWS($A$5:A112),'VIP Signups'!$K$5:$K$204,0)),"")</x:f>
      </x:c>
      <x:c r="C112" s="18" t="str">
        <x:f>IFERROR(INDEX('VIP Signups'!F$5:F$204,MATCH(ROWS($A$5:A112),'VIP Signups'!$K$5:$K$204,0)),"")</x:f>
      </x:c>
      <x:c r="D112" s="18" t="str">
        <x:f>IFERROR(INDEX('VIP Signups'!M$5:M$204,MATCH(ROWS($A$5:A112),'VIP Signups'!$K$5:$K$204,0)),"")</x:f>
      </x:c>
      <x:c r="E112" s="18" t="str">
        <x:f>IFERROR(INDEX('VIP Signups'!C$5:C$204,MATCH(ROWS($A$5:A112),'VIP Signups'!$K$5:$K$204,0)),"")</x:f>
      </x:c>
      <x:c r="F112" s="18" t="str">
        <x:f>IFERROR(INDEX('VIP Signups'!E$5:E$204,MATCH(ROWS($A$5:A112),'VIP Signups'!$K$5:$K$204,0)),"")</x:f>
      </x:c>
      <x:c r="G112" s="18" t="str">
        <x:f>IFERROR(INDEX('VIP Signups'!H$5:H$204,MATCH(ROWS($A$5:A112),'VIP Signups'!$K$5:$K$204,0)),"")</x:f>
      </x:c>
    </x:row>
    <x:row r="113">
      <x:c r="A113" s="18" t="str">
        <x:f>IFERROR(INDEX('VIP Signups'!A$5:A$204,MATCH(ROWS($A$5:A113),'VIP Signups'!$K$5:$K$204,0)),"")</x:f>
      </x:c>
      <x:c r="B113" s="18" t="str">
        <x:f>IFERROR(INDEX('VIP Signups'!D$5:D$204,MATCH(ROWS($A$5:A113),'VIP Signups'!$K$5:$K$204,0)),"")</x:f>
      </x:c>
      <x:c r="C113" s="18" t="str">
        <x:f>IFERROR(INDEX('VIP Signups'!F$5:F$204,MATCH(ROWS($A$5:A113),'VIP Signups'!$K$5:$K$204,0)),"")</x:f>
      </x:c>
      <x:c r="D113" s="18" t="str">
        <x:f>IFERROR(INDEX('VIP Signups'!M$5:M$204,MATCH(ROWS($A$5:A113),'VIP Signups'!$K$5:$K$204,0)),"")</x:f>
      </x:c>
      <x:c r="E113" s="18" t="str">
        <x:f>IFERROR(INDEX('VIP Signups'!C$5:C$204,MATCH(ROWS($A$5:A113),'VIP Signups'!$K$5:$K$204,0)),"")</x:f>
      </x:c>
      <x:c r="F113" s="18" t="str">
        <x:f>IFERROR(INDEX('VIP Signups'!E$5:E$204,MATCH(ROWS($A$5:A113),'VIP Signups'!$K$5:$K$204,0)),"")</x:f>
      </x:c>
      <x:c r="G113" s="18" t="str">
        <x:f>IFERROR(INDEX('VIP Signups'!H$5:H$204,MATCH(ROWS($A$5:A113),'VIP Signups'!$K$5:$K$204,0)),"")</x:f>
      </x:c>
    </x:row>
    <x:row r="114">
      <x:c r="A114" s="18" t="str">
        <x:f>IFERROR(INDEX('VIP Signups'!A$5:A$204,MATCH(ROWS($A$5:A114),'VIP Signups'!$K$5:$K$204,0)),"")</x:f>
      </x:c>
      <x:c r="B114" s="18" t="str">
        <x:f>IFERROR(INDEX('VIP Signups'!D$5:D$204,MATCH(ROWS($A$5:A114),'VIP Signups'!$K$5:$K$204,0)),"")</x:f>
      </x:c>
      <x:c r="C114" s="18" t="str">
        <x:f>IFERROR(INDEX('VIP Signups'!F$5:F$204,MATCH(ROWS($A$5:A114),'VIP Signups'!$K$5:$K$204,0)),"")</x:f>
      </x:c>
      <x:c r="D114" s="18" t="str">
        <x:f>IFERROR(INDEX('VIP Signups'!M$5:M$204,MATCH(ROWS($A$5:A114),'VIP Signups'!$K$5:$K$204,0)),"")</x:f>
      </x:c>
      <x:c r="E114" s="18" t="str">
        <x:f>IFERROR(INDEX('VIP Signups'!C$5:C$204,MATCH(ROWS($A$5:A114),'VIP Signups'!$K$5:$K$204,0)),"")</x:f>
      </x:c>
      <x:c r="F114" s="18" t="str">
        <x:f>IFERROR(INDEX('VIP Signups'!E$5:E$204,MATCH(ROWS($A$5:A114),'VIP Signups'!$K$5:$K$204,0)),"")</x:f>
      </x:c>
      <x:c r="G114" s="18" t="str">
        <x:f>IFERROR(INDEX('VIP Signups'!H$5:H$204,MATCH(ROWS($A$5:A114),'VIP Signups'!$K$5:$K$204,0)),"")</x:f>
      </x:c>
    </x:row>
    <x:row r="115">
      <x:c r="A115" s="18" t="str">
        <x:f>IFERROR(INDEX('VIP Signups'!A$5:A$204,MATCH(ROWS($A$5:A115),'VIP Signups'!$K$5:$K$204,0)),"")</x:f>
      </x:c>
      <x:c r="B115" s="18" t="str">
        <x:f>IFERROR(INDEX('VIP Signups'!D$5:D$204,MATCH(ROWS($A$5:A115),'VIP Signups'!$K$5:$K$204,0)),"")</x:f>
      </x:c>
      <x:c r="C115" s="18" t="str">
        <x:f>IFERROR(INDEX('VIP Signups'!F$5:F$204,MATCH(ROWS($A$5:A115),'VIP Signups'!$K$5:$K$204,0)),"")</x:f>
      </x:c>
      <x:c r="D115" s="18" t="str">
        <x:f>IFERROR(INDEX('VIP Signups'!M$5:M$204,MATCH(ROWS($A$5:A115),'VIP Signups'!$K$5:$K$204,0)),"")</x:f>
      </x:c>
      <x:c r="E115" s="18" t="str">
        <x:f>IFERROR(INDEX('VIP Signups'!C$5:C$204,MATCH(ROWS($A$5:A115),'VIP Signups'!$K$5:$K$204,0)),"")</x:f>
      </x:c>
      <x:c r="F115" s="18" t="str">
        <x:f>IFERROR(INDEX('VIP Signups'!E$5:E$204,MATCH(ROWS($A$5:A115),'VIP Signups'!$K$5:$K$204,0)),"")</x:f>
      </x:c>
      <x:c r="G115" s="18" t="str">
        <x:f>IFERROR(INDEX('VIP Signups'!H$5:H$204,MATCH(ROWS($A$5:A115),'VIP Signups'!$K$5:$K$204,0)),"")</x:f>
      </x:c>
    </x:row>
    <x:row r="116">
      <x:c r="A116" s="18" t="str">
        <x:f>IFERROR(INDEX('VIP Signups'!A$5:A$204,MATCH(ROWS($A$5:A116),'VIP Signups'!$K$5:$K$204,0)),"")</x:f>
      </x:c>
      <x:c r="B116" s="18" t="str">
        <x:f>IFERROR(INDEX('VIP Signups'!D$5:D$204,MATCH(ROWS($A$5:A116),'VIP Signups'!$K$5:$K$204,0)),"")</x:f>
      </x:c>
      <x:c r="C116" s="18" t="str">
        <x:f>IFERROR(INDEX('VIP Signups'!F$5:F$204,MATCH(ROWS($A$5:A116),'VIP Signups'!$K$5:$K$204,0)),"")</x:f>
      </x:c>
      <x:c r="D116" s="18" t="str">
        <x:f>IFERROR(INDEX('VIP Signups'!M$5:M$204,MATCH(ROWS($A$5:A116),'VIP Signups'!$K$5:$K$204,0)),"")</x:f>
      </x:c>
      <x:c r="E116" s="18" t="str">
        <x:f>IFERROR(INDEX('VIP Signups'!C$5:C$204,MATCH(ROWS($A$5:A116),'VIP Signups'!$K$5:$K$204,0)),"")</x:f>
      </x:c>
      <x:c r="F116" s="18" t="str">
        <x:f>IFERROR(INDEX('VIP Signups'!E$5:E$204,MATCH(ROWS($A$5:A116),'VIP Signups'!$K$5:$K$204,0)),"")</x:f>
      </x:c>
      <x:c r="G116" s="18" t="str">
        <x:f>IFERROR(INDEX('VIP Signups'!H$5:H$204,MATCH(ROWS($A$5:A116),'VIP Signups'!$K$5:$K$204,0)),"")</x:f>
      </x:c>
    </x:row>
    <x:row r="117">
      <x:c r="A117" s="18" t="str">
        <x:f>IFERROR(INDEX('VIP Signups'!A$5:A$204,MATCH(ROWS($A$5:A117),'VIP Signups'!$K$5:$K$204,0)),"")</x:f>
      </x:c>
      <x:c r="B117" s="18" t="str">
        <x:f>IFERROR(INDEX('VIP Signups'!D$5:D$204,MATCH(ROWS($A$5:A117),'VIP Signups'!$K$5:$K$204,0)),"")</x:f>
      </x:c>
      <x:c r="C117" s="18" t="str">
        <x:f>IFERROR(INDEX('VIP Signups'!F$5:F$204,MATCH(ROWS($A$5:A117),'VIP Signups'!$K$5:$K$204,0)),"")</x:f>
      </x:c>
      <x:c r="D117" s="18" t="str">
        <x:f>IFERROR(INDEX('VIP Signups'!M$5:M$204,MATCH(ROWS($A$5:A117),'VIP Signups'!$K$5:$K$204,0)),"")</x:f>
      </x:c>
      <x:c r="E117" s="18" t="str">
        <x:f>IFERROR(INDEX('VIP Signups'!C$5:C$204,MATCH(ROWS($A$5:A117),'VIP Signups'!$K$5:$K$204,0)),"")</x:f>
      </x:c>
      <x:c r="F117" s="18" t="str">
        <x:f>IFERROR(INDEX('VIP Signups'!E$5:E$204,MATCH(ROWS($A$5:A117),'VIP Signups'!$K$5:$K$204,0)),"")</x:f>
      </x:c>
      <x:c r="G117" s="18" t="str">
        <x:f>IFERROR(INDEX('VIP Signups'!H$5:H$204,MATCH(ROWS($A$5:A117),'VIP Signups'!$K$5:$K$204,0)),"")</x:f>
      </x:c>
    </x:row>
    <x:row r="118">
      <x:c r="A118" s="18" t="str">
        <x:f>IFERROR(INDEX('VIP Signups'!A$5:A$204,MATCH(ROWS($A$5:A118),'VIP Signups'!$K$5:$K$204,0)),"")</x:f>
      </x:c>
      <x:c r="B118" s="18" t="str">
        <x:f>IFERROR(INDEX('VIP Signups'!D$5:D$204,MATCH(ROWS($A$5:A118),'VIP Signups'!$K$5:$K$204,0)),"")</x:f>
      </x:c>
      <x:c r="C118" s="18" t="str">
        <x:f>IFERROR(INDEX('VIP Signups'!F$5:F$204,MATCH(ROWS($A$5:A118),'VIP Signups'!$K$5:$K$204,0)),"")</x:f>
      </x:c>
      <x:c r="D118" s="18" t="str">
        <x:f>IFERROR(INDEX('VIP Signups'!M$5:M$204,MATCH(ROWS($A$5:A118),'VIP Signups'!$K$5:$K$204,0)),"")</x:f>
      </x:c>
      <x:c r="E118" s="18" t="str">
        <x:f>IFERROR(INDEX('VIP Signups'!C$5:C$204,MATCH(ROWS($A$5:A118),'VIP Signups'!$K$5:$K$204,0)),"")</x:f>
      </x:c>
      <x:c r="F118" s="18" t="str">
        <x:f>IFERROR(INDEX('VIP Signups'!E$5:E$204,MATCH(ROWS($A$5:A118),'VIP Signups'!$K$5:$K$204,0)),"")</x:f>
      </x:c>
      <x:c r="G118" s="18" t="str">
        <x:f>IFERROR(INDEX('VIP Signups'!H$5:H$204,MATCH(ROWS($A$5:A118),'VIP Signups'!$K$5:$K$204,0)),"")</x:f>
      </x:c>
    </x:row>
    <x:row r="119">
      <x:c r="A119" s="18" t="str">
        <x:f>IFERROR(INDEX('VIP Signups'!A$5:A$204,MATCH(ROWS($A$5:A119),'VIP Signups'!$K$5:$K$204,0)),"")</x:f>
      </x:c>
      <x:c r="B119" s="18" t="str">
        <x:f>IFERROR(INDEX('VIP Signups'!D$5:D$204,MATCH(ROWS($A$5:A119),'VIP Signups'!$K$5:$K$204,0)),"")</x:f>
      </x:c>
      <x:c r="C119" s="18" t="str">
        <x:f>IFERROR(INDEX('VIP Signups'!F$5:F$204,MATCH(ROWS($A$5:A119),'VIP Signups'!$K$5:$K$204,0)),"")</x:f>
      </x:c>
      <x:c r="D119" s="18" t="str">
        <x:f>IFERROR(INDEX('VIP Signups'!M$5:M$204,MATCH(ROWS($A$5:A119),'VIP Signups'!$K$5:$K$204,0)),"")</x:f>
      </x:c>
      <x:c r="E119" s="18" t="str">
        <x:f>IFERROR(INDEX('VIP Signups'!C$5:C$204,MATCH(ROWS($A$5:A119),'VIP Signups'!$K$5:$K$204,0)),"")</x:f>
      </x:c>
      <x:c r="F119" s="18" t="str">
        <x:f>IFERROR(INDEX('VIP Signups'!E$5:E$204,MATCH(ROWS($A$5:A119),'VIP Signups'!$K$5:$K$204,0)),"")</x:f>
      </x:c>
      <x:c r="G119" s="18" t="str">
        <x:f>IFERROR(INDEX('VIP Signups'!H$5:H$204,MATCH(ROWS($A$5:A119),'VIP Signups'!$K$5:$K$204,0)),"")</x:f>
      </x:c>
    </x:row>
    <x:row r="120">
      <x:c r="A120" s="18" t="str">
        <x:f>IFERROR(INDEX('VIP Signups'!A$5:A$204,MATCH(ROWS($A$5:A120),'VIP Signups'!$K$5:$K$204,0)),"")</x:f>
      </x:c>
      <x:c r="B120" s="18" t="str">
        <x:f>IFERROR(INDEX('VIP Signups'!D$5:D$204,MATCH(ROWS($A$5:A120),'VIP Signups'!$K$5:$K$204,0)),"")</x:f>
      </x:c>
      <x:c r="C120" s="18" t="str">
        <x:f>IFERROR(INDEX('VIP Signups'!F$5:F$204,MATCH(ROWS($A$5:A120),'VIP Signups'!$K$5:$K$204,0)),"")</x:f>
      </x:c>
      <x:c r="D120" s="18" t="str">
        <x:f>IFERROR(INDEX('VIP Signups'!M$5:M$204,MATCH(ROWS($A$5:A120),'VIP Signups'!$K$5:$K$204,0)),"")</x:f>
      </x:c>
      <x:c r="E120" s="18" t="str">
        <x:f>IFERROR(INDEX('VIP Signups'!C$5:C$204,MATCH(ROWS($A$5:A120),'VIP Signups'!$K$5:$K$204,0)),"")</x:f>
      </x:c>
      <x:c r="F120" s="18" t="str">
        <x:f>IFERROR(INDEX('VIP Signups'!E$5:E$204,MATCH(ROWS($A$5:A120),'VIP Signups'!$K$5:$K$204,0)),"")</x:f>
      </x:c>
      <x:c r="G120" s="18" t="str">
        <x:f>IFERROR(INDEX('VIP Signups'!H$5:H$204,MATCH(ROWS($A$5:A120),'VIP Signups'!$K$5:$K$204,0)),"")</x:f>
      </x:c>
    </x:row>
    <x:row r="121">
      <x:c r="A121" s="18" t="str">
        <x:f>IFERROR(INDEX('VIP Signups'!A$5:A$204,MATCH(ROWS($A$5:A121),'VIP Signups'!$K$5:$K$204,0)),"")</x:f>
      </x:c>
      <x:c r="B121" s="18" t="str">
        <x:f>IFERROR(INDEX('VIP Signups'!D$5:D$204,MATCH(ROWS($A$5:A121),'VIP Signups'!$K$5:$K$204,0)),"")</x:f>
      </x:c>
      <x:c r="C121" s="18" t="str">
        <x:f>IFERROR(INDEX('VIP Signups'!F$5:F$204,MATCH(ROWS($A$5:A121),'VIP Signups'!$K$5:$K$204,0)),"")</x:f>
      </x:c>
      <x:c r="D121" s="18" t="str">
        <x:f>IFERROR(INDEX('VIP Signups'!M$5:M$204,MATCH(ROWS($A$5:A121),'VIP Signups'!$K$5:$K$204,0)),"")</x:f>
      </x:c>
      <x:c r="E121" s="18" t="str">
        <x:f>IFERROR(INDEX('VIP Signups'!C$5:C$204,MATCH(ROWS($A$5:A121),'VIP Signups'!$K$5:$K$204,0)),"")</x:f>
      </x:c>
      <x:c r="F121" s="18" t="str">
        <x:f>IFERROR(INDEX('VIP Signups'!E$5:E$204,MATCH(ROWS($A$5:A121),'VIP Signups'!$K$5:$K$204,0)),"")</x:f>
      </x:c>
      <x:c r="G121" s="18" t="str">
        <x:f>IFERROR(INDEX('VIP Signups'!H$5:H$204,MATCH(ROWS($A$5:A121),'VIP Signups'!$K$5:$K$204,0)),"")</x:f>
      </x:c>
    </x:row>
    <x:row r="122">
      <x:c r="A122" s="18" t="str">
        <x:f>IFERROR(INDEX('VIP Signups'!A$5:A$204,MATCH(ROWS($A$5:A122),'VIP Signups'!$K$5:$K$204,0)),"")</x:f>
      </x:c>
      <x:c r="B122" s="18" t="str">
        <x:f>IFERROR(INDEX('VIP Signups'!D$5:D$204,MATCH(ROWS($A$5:A122),'VIP Signups'!$K$5:$K$204,0)),"")</x:f>
      </x:c>
      <x:c r="C122" s="18" t="str">
        <x:f>IFERROR(INDEX('VIP Signups'!F$5:F$204,MATCH(ROWS($A$5:A122),'VIP Signups'!$K$5:$K$204,0)),"")</x:f>
      </x:c>
      <x:c r="D122" s="18" t="str">
        <x:f>IFERROR(INDEX('VIP Signups'!M$5:M$204,MATCH(ROWS($A$5:A122),'VIP Signups'!$K$5:$K$204,0)),"")</x:f>
      </x:c>
      <x:c r="E122" s="18" t="str">
        <x:f>IFERROR(INDEX('VIP Signups'!C$5:C$204,MATCH(ROWS($A$5:A122),'VIP Signups'!$K$5:$K$204,0)),"")</x:f>
      </x:c>
      <x:c r="F122" s="18" t="str">
        <x:f>IFERROR(INDEX('VIP Signups'!E$5:E$204,MATCH(ROWS($A$5:A122),'VIP Signups'!$K$5:$K$204,0)),"")</x:f>
      </x:c>
      <x:c r="G122" s="18" t="str">
        <x:f>IFERROR(INDEX('VIP Signups'!H$5:H$204,MATCH(ROWS($A$5:A122),'VIP Signups'!$K$5:$K$204,0)),"")</x:f>
      </x:c>
    </x:row>
    <x:row r="123">
      <x:c r="A123" s="18" t="str">
        <x:f>IFERROR(INDEX('VIP Signups'!A$5:A$204,MATCH(ROWS($A$5:A123),'VIP Signups'!$K$5:$K$204,0)),"")</x:f>
      </x:c>
      <x:c r="B123" s="18" t="str">
        <x:f>IFERROR(INDEX('VIP Signups'!D$5:D$204,MATCH(ROWS($A$5:A123),'VIP Signups'!$K$5:$K$204,0)),"")</x:f>
      </x:c>
      <x:c r="C123" s="18" t="str">
        <x:f>IFERROR(INDEX('VIP Signups'!F$5:F$204,MATCH(ROWS($A$5:A123),'VIP Signups'!$K$5:$K$204,0)),"")</x:f>
      </x:c>
      <x:c r="D123" s="18" t="str">
        <x:f>IFERROR(INDEX('VIP Signups'!M$5:M$204,MATCH(ROWS($A$5:A123),'VIP Signups'!$K$5:$K$204,0)),"")</x:f>
      </x:c>
      <x:c r="E123" s="18" t="str">
        <x:f>IFERROR(INDEX('VIP Signups'!C$5:C$204,MATCH(ROWS($A$5:A123),'VIP Signups'!$K$5:$K$204,0)),"")</x:f>
      </x:c>
      <x:c r="F123" s="18" t="str">
        <x:f>IFERROR(INDEX('VIP Signups'!E$5:E$204,MATCH(ROWS($A$5:A123),'VIP Signups'!$K$5:$K$204,0)),"")</x:f>
      </x:c>
      <x:c r="G123" s="18" t="str">
        <x:f>IFERROR(INDEX('VIP Signups'!H$5:H$204,MATCH(ROWS($A$5:A123),'VIP Signups'!$K$5:$K$204,0)),"")</x:f>
      </x:c>
    </x:row>
    <x:row r="124">
      <x:c r="A124" s="18" t="str">
        <x:f>IFERROR(INDEX('VIP Signups'!A$5:A$204,MATCH(ROWS($A$5:A124),'VIP Signups'!$K$5:$K$204,0)),"")</x:f>
      </x:c>
      <x:c r="B124" s="18" t="str">
        <x:f>IFERROR(INDEX('VIP Signups'!D$5:D$204,MATCH(ROWS($A$5:A124),'VIP Signups'!$K$5:$K$204,0)),"")</x:f>
      </x:c>
      <x:c r="C124" s="18" t="str">
        <x:f>IFERROR(INDEX('VIP Signups'!F$5:F$204,MATCH(ROWS($A$5:A124),'VIP Signups'!$K$5:$K$204,0)),"")</x:f>
      </x:c>
      <x:c r="D124" s="18" t="str">
        <x:f>IFERROR(INDEX('VIP Signups'!M$5:M$204,MATCH(ROWS($A$5:A124),'VIP Signups'!$K$5:$K$204,0)),"")</x:f>
      </x:c>
      <x:c r="E124" s="18" t="str">
        <x:f>IFERROR(INDEX('VIP Signups'!C$5:C$204,MATCH(ROWS($A$5:A124),'VIP Signups'!$K$5:$K$204,0)),"")</x:f>
      </x:c>
      <x:c r="F124" s="18" t="str">
        <x:f>IFERROR(INDEX('VIP Signups'!E$5:E$204,MATCH(ROWS($A$5:A124),'VIP Signups'!$K$5:$K$204,0)),"")</x:f>
      </x:c>
      <x:c r="G124" s="18" t="str">
        <x:f>IFERROR(INDEX('VIP Signups'!H$5:H$204,MATCH(ROWS($A$5:A124),'VIP Signups'!$K$5:$K$204,0)),"")</x:f>
      </x:c>
    </x:row>
    <x:row r="125">
      <x:c r="A125" s="18" t="str">
        <x:f>IFERROR(INDEX('VIP Signups'!A$5:A$204,MATCH(ROWS($A$5:A125),'VIP Signups'!$K$5:$K$204,0)),"")</x:f>
      </x:c>
      <x:c r="B125" s="18" t="str">
        <x:f>IFERROR(INDEX('VIP Signups'!D$5:D$204,MATCH(ROWS($A$5:A125),'VIP Signups'!$K$5:$K$204,0)),"")</x:f>
      </x:c>
      <x:c r="C125" s="18" t="str">
        <x:f>IFERROR(INDEX('VIP Signups'!F$5:F$204,MATCH(ROWS($A$5:A125),'VIP Signups'!$K$5:$K$204,0)),"")</x:f>
      </x:c>
      <x:c r="D125" s="18" t="str">
        <x:f>IFERROR(INDEX('VIP Signups'!M$5:M$204,MATCH(ROWS($A$5:A125),'VIP Signups'!$K$5:$K$204,0)),"")</x:f>
      </x:c>
      <x:c r="E125" s="18" t="str">
        <x:f>IFERROR(INDEX('VIP Signups'!C$5:C$204,MATCH(ROWS($A$5:A125),'VIP Signups'!$K$5:$K$204,0)),"")</x:f>
      </x:c>
      <x:c r="F125" s="18" t="str">
        <x:f>IFERROR(INDEX('VIP Signups'!E$5:E$204,MATCH(ROWS($A$5:A125),'VIP Signups'!$K$5:$K$204,0)),"")</x:f>
      </x:c>
      <x:c r="G125" s="18" t="str">
        <x:f>IFERROR(INDEX('VIP Signups'!H$5:H$204,MATCH(ROWS($A$5:A125),'VIP Signups'!$K$5:$K$204,0)),"")</x:f>
      </x:c>
    </x:row>
    <x:row r="126">
      <x:c r="A126" s="18" t="str">
        <x:f>IFERROR(INDEX('VIP Signups'!A$5:A$204,MATCH(ROWS($A$5:A126),'VIP Signups'!$K$5:$K$204,0)),"")</x:f>
      </x:c>
      <x:c r="B126" s="18" t="str">
        <x:f>IFERROR(INDEX('VIP Signups'!D$5:D$204,MATCH(ROWS($A$5:A126),'VIP Signups'!$K$5:$K$204,0)),"")</x:f>
      </x:c>
      <x:c r="C126" s="18" t="str">
        <x:f>IFERROR(INDEX('VIP Signups'!F$5:F$204,MATCH(ROWS($A$5:A126),'VIP Signups'!$K$5:$K$204,0)),"")</x:f>
      </x:c>
      <x:c r="D126" s="18" t="str">
        <x:f>IFERROR(INDEX('VIP Signups'!M$5:M$204,MATCH(ROWS($A$5:A126),'VIP Signups'!$K$5:$K$204,0)),"")</x:f>
      </x:c>
      <x:c r="E126" s="18" t="str">
        <x:f>IFERROR(INDEX('VIP Signups'!C$5:C$204,MATCH(ROWS($A$5:A126),'VIP Signups'!$K$5:$K$204,0)),"")</x:f>
      </x:c>
      <x:c r="F126" s="18" t="str">
        <x:f>IFERROR(INDEX('VIP Signups'!E$5:E$204,MATCH(ROWS($A$5:A126),'VIP Signups'!$K$5:$K$204,0)),"")</x:f>
      </x:c>
      <x:c r="G126" s="18" t="str">
        <x:f>IFERROR(INDEX('VIP Signups'!H$5:H$204,MATCH(ROWS($A$5:A126),'VIP Signups'!$K$5:$K$204,0)),"")</x:f>
      </x:c>
    </x:row>
    <x:row r="127">
      <x:c r="A127" s="18" t="str">
        <x:f>IFERROR(INDEX('VIP Signups'!A$5:A$204,MATCH(ROWS($A$5:A127),'VIP Signups'!$K$5:$K$204,0)),"")</x:f>
      </x:c>
      <x:c r="B127" s="18" t="str">
        <x:f>IFERROR(INDEX('VIP Signups'!D$5:D$204,MATCH(ROWS($A$5:A127),'VIP Signups'!$K$5:$K$204,0)),"")</x:f>
      </x:c>
      <x:c r="C127" s="18" t="str">
        <x:f>IFERROR(INDEX('VIP Signups'!F$5:F$204,MATCH(ROWS($A$5:A127),'VIP Signups'!$K$5:$K$204,0)),"")</x:f>
      </x:c>
      <x:c r="D127" s="18" t="str">
        <x:f>IFERROR(INDEX('VIP Signups'!M$5:M$204,MATCH(ROWS($A$5:A127),'VIP Signups'!$K$5:$K$204,0)),"")</x:f>
      </x:c>
      <x:c r="E127" s="18" t="str">
        <x:f>IFERROR(INDEX('VIP Signups'!C$5:C$204,MATCH(ROWS($A$5:A127),'VIP Signups'!$K$5:$K$204,0)),"")</x:f>
      </x:c>
      <x:c r="F127" s="18" t="str">
        <x:f>IFERROR(INDEX('VIP Signups'!E$5:E$204,MATCH(ROWS($A$5:A127),'VIP Signups'!$K$5:$K$204,0)),"")</x:f>
      </x:c>
      <x:c r="G127" s="18" t="str">
        <x:f>IFERROR(INDEX('VIP Signups'!H$5:H$204,MATCH(ROWS($A$5:A127),'VIP Signups'!$K$5:$K$204,0)),"")</x:f>
      </x:c>
    </x:row>
    <x:row r="128">
      <x:c r="A128" s="18" t="str">
        <x:f>IFERROR(INDEX('VIP Signups'!A$5:A$204,MATCH(ROWS($A$5:A128),'VIP Signups'!$K$5:$K$204,0)),"")</x:f>
      </x:c>
      <x:c r="B128" s="18" t="str">
        <x:f>IFERROR(INDEX('VIP Signups'!D$5:D$204,MATCH(ROWS($A$5:A128),'VIP Signups'!$K$5:$K$204,0)),"")</x:f>
      </x:c>
      <x:c r="C128" s="18" t="str">
        <x:f>IFERROR(INDEX('VIP Signups'!F$5:F$204,MATCH(ROWS($A$5:A128),'VIP Signups'!$K$5:$K$204,0)),"")</x:f>
      </x:c>
      <x:c r="D128" s="18" t="str">
        <x:f>IFERROR(INDEX('VIP Signups'!M$5:M$204,MATCH(ROWS($A$5:A128),'VIP Signups'!$K$5:$K$204,0)),"")</x:f>
      </x:c>
      <x:c r="E128" s="18" t="str">
        <x:f>IFERROR(INDEX('VIP Signups'!C$5:C$204,MATCH(ROWS($A$5:A128),'VIP Signups'!$K$5:$K$204,0)),"")</x:f>
      </x:c>
      <x:c r="F128" s="18" t="str">
        <x:f>IFERROR(INDEX('VIP Signups'!E$5:E$204,MATCH(ROWS($A$5:A128),'VIP Signups'!$K$5:$K$204,0)),"")</x:f>
      </x:c>
      <x:c r="G128" s="18" t="str">
        <x:f>IFERROR(INDEX('VIP Signups'!H$5:H$204,MATCH(ROWS($A$5:A128),'VIP Signups'!$K$5:$K$204,0)),"")</x:f>
      </x:c>
    </x:row>
    <x:row r="129">
      <x:c r="A129" s="18" t="str">
        <x:f>IFERROR(INDEX('VIP Signups'!A$5:A$204,MATCH(ROWS($A$5:A129),'VIP Signups'!$K$5:$K$204,0)),"")</x:f>
      </x:c>
      <x:c r="B129" s="18" t="str">
        <x:f>IFERROR(INDEX('VIP Signups'!D$5:D$204,MATCH(ROWS($A$5:A129),'VIP Signups'!$K$5:$K$204,0)),"")</x:f>
      </x:c>
      <x:c r="C129" s="18" t="str">
        <x:f>IFERROR(INDEX('VIP Signups'!F$5:F$204,MATCH(ROWS($A$5:A129),'VIP Signups'!$K$5:$K$204,0)),"")</x:f>
      </x:c>
      <x:c r="D129" s="18" t="str">
        <x:f>IFERROR(INDEX('VIP Signups'!M$5:M$204,MATCH(ROWS($A$5:A129),'VIP Signups'!$K$5:$K$204,0)),"")</x:f>
      </x:c>
      <x:c r="E129" s="18" t="str">
        <x:f>IFERROR(INDEX('VIP Signups'!C$5:C$204,MATCH(ROWS($A$5:A129),'VIP Signups'!$K$5:$K$204,0)),"")</x:f>
      </x:c>
      <x:c r="F129" s="18" t="str">
        <x:f>IFERROR(INDEX('VIP Signups'!E$5:E$204,MATCH(ROWS($A$5:A129),'VIP Signups'!$K$5:$K$204,0)),"")</x:f>
      </x:c>
      <x:c r="G129" s="18" t="str">
        <x:f>IFERROR(INDEX('VIP Signups'!H$5:H$204,MATCH(ROWS($A$5:A129),'VIP Signups'!$K$5:$K$204,0)),"")</x:f>
      </x:c>
    </x:row>
    <x:row r="130">
      <x:c r="A130" s="18" t="str">
        <x:f>IFERROR(INDEX('VIP Signups'!A$5:A$204,MATCH(ROWS($A$5:A130),'VIP Signups'!$K$5:$K$204,0)),"")</x:f>
      </x:c>
      <x:c r="B130" s="18" t="str">
        <x:f>IFERROR(INDEX('VIP Signups'!D$5:D$204,MATCH(ROWS($A$5:A130),'VIP Signups'!$K$5:$K$204,0)),"")</x:f>
      </x:c>
      <x:c r="C130" s="18" t="str">
        <x:f>IFERROR(INDEX('VIP Signups'!F$5:F$204,MATCH(ROWS($A$5:A130),'VIP Signups'!$K$5:$K$204,0)),"")</x:f>
      </x:c>
      <x:c r="D130" s="18" t="str">
        <x:f>IFERROR(INDEX('VIP Signups'!M$5:M$204,MATCH(ROWS($A$5:A130),'VIP Signups'!$K$5:$K$204,0)),"")</x:f>
      </x:c>
      <x:c r="E130" s="18" t="str">
        <x:f>IFERROR(INDEX('VIP Signups'!C$5:C$204,MATCH(ROWS($A$5:A130),'VIP Signups'!$K$5:$K$204,0)),"")</x:f>
      </x:c>
      <x:c r="F130" s="18" t="str">
        <x:f>IFERROR(INDEX('VIP Signups'!E$5:E$204,MATCH(ROWS($A$5:A130),'VIP Signups'!$K$5:$K$204,0)),"")</x:f>
      </x:c>
      <x:c r="G130" s="18" t="str">
        <x:f>IFERROR(INDEX('VIP Signups'!H$5:H$204,MATCH(ROWS($A$5:A130),'VIP Signups'!$K$5:$K$204,0)),"")</x:f>
      </x:c>
    </x:row>
    <x:row r="131">
      <x:c r="A131" s="18" t="str">
        <x:f>IFERROR(INDEX('VIP Signups'!A$5:A$204,MATCH(ROWS($A$5:A131),'VIP Signups'!$K$5:$K$204,0)),"")</x:f>
      </x:c>
      <x:c r="B131" s="18" t="str">
        <x:f>IFERROR(INDEX('VIP Signups'!D$5:D$204,MATCH(ROWS($A$5:A131),'VIP Signups'!$K$5:$K$204,0)),"")</x:f>
      </x:c>
      <x:c r="C131" s="18" t="str">
        <x:f>IFERROR(INDEX('VIP Signups'!F$5:F$204,MATCH(ROWS($A$5:A131),'VIP Signups'!$K$5:$K$204,0)),"")</x:f>
      </x:c>
      <x:c r="D131" s="18" t="str">
        <x:f>IFERROR(INDEX('VIP Signups'!M$5:M$204,MATCH(ROWS($A$5:A131),'VIP Signups'!$K$5:$K$204,0)),"")</x:f>
      </x:c>
      <x:c r="E131" s="18" t="str">
        <x:f>IFERROR(INDEX('VIP Signups'!C$5:C$204,MATCH(ROWS($A$5:A131),'VIP Signups'!$K$5:$K$204,0)),"")</x:f>
      </x:c>
      <x:c r="F131" s="18" t="str">
        <x:f>IFERROR(INDEX('VIP Signups'!E$5:E$204,MATCH(ROWS($A$5:A131),'VIP Signups'!$K$5:$K$204,0)),"")</x:f>
      </x:c>
      <x:c r="G131" s="18" t="str">
        <x:f>IFERROR(INDEX('VIP Signups'!H$5:H$204,MATCH(ROWS($A$5:A131),'VIP Signups'!$K$5:$K$204,0)),"")</x:f>
      </x:c>
    </x:row>
    <x:row r="132">
      <x:c r="A132" s="18" t="str">
        <x:f>IFERROR(INDEX('VIP Signups'!A$5:A$204,MATCH(ROWS($A$5:A132),'VIP Signups'!$K$5:$K$204,0)),"")</x:f>
      </x:c>
      <x:c r="B132" s="18" t="str">
        <x:f>IFERROR(INDEX('VIP Signups'!D$5:D$204,MATCH(ROWS($A$5:A132),'VIP Signups'!$K$5:$K$204,0)),"")</x:f>
      </x:c>
      <x:c r="C132" s="18" t="str">
        <x:f>IFERROR(INDEX('VIP Signups'!F$5:F$204,MATCH(ROWS($A$5:A132),'VIP Signups'!$K$5:$K$204,0)),"")</x:f>
      </x:c>
      <x:c r="D132" s="18" t="str">
        <x:f>IFERROR(INDEX('VIP Signups'!M$5:M$204,MATCH(ROWS($A$5:A132),'VIP Signups'!$K$5:$K$204,0)),"")</x:f>
      </x:c>
      <x:c r="E132" s="18" t="str">
        <x:f>IFERROR(INDEX('VIP Signups'!C$5:C$204,MATCH(ROWS($A$5:A132),'VIP Signups'!$K$5:$K$204,0)),"")</x:f>
      </x:c>
      <x:c r="F132" s="18" t="str">
        <x:f>IFERROR(INDEX('VIP Signups'!E$5:E$204,MATCH(ROWS($A$5:A132),'VIP Signups'!$K$5:$K$204,0)),"")</x:f>
      </x:c>
      <x:c r="G132" s="18" t="str">
        <x:f>IFERROR(INDEX('VIP Signups'!H$5:H$204,MATCH(ROWS($A$5:A132),'VIP Signups'!$K$5:$K$204,0)),"")</x:f>
      </x:c>
    </x:row>
    <x:row r="133">
      <x:c r="A133" s="18" t="str">
        <x:f>IFERROR(INDEX('VIP Signups'!A$5:A$204,MATCH(ROWS($A$5:A133),'VIP Signups'!$K$5:$K$204,0)),"")</x:f>
      </x:c>
      <x:c r="B133" s="18" t="str">
        <x:f>IFERROR(INDEX('VIP Signups'!D$5:D$204,MATCH(ROWS($A$5:A133),'VIP Signups'!$K$5:$K$204,0)),"")</x:f>
      </x:c>
      <x:c r="C133" s="18" t="str">
        <x:f>IFERROR(INDEX('VIP Signups'!F$5:F$204,MATCH(ROWS($A$5:A133),'VIP Signups'!$K$5:$K$204,0)),"")</x:f>
      </x:c>
      <x:c r="D133" s="18" t="str">
        <x:f>IFERROR(INDEX('VIP Signups'!M$5:M$204,MATCH(ROWS($A$5:A133),'VIP Signups'!$K$5:$K$204,0)),"")</x:f>
      </x:c>
      <x:c r="E133" s="18" t="str">
        <x:f>IFERROR(INDEX('VIP Signups'!C$5:C$204,MATCH(ROWS($A$5:A133),'VIP Signups'!$K$5:$K$204,0)),"")</x:f>
      </x:c>
      <x:c r="F133" s="18" t="str">
        <x:f>IFERROR(INDEX('VIP Signups'!E$5:E$204,MATCH(ROWS($A$5:A133),'VIP Signups'!$K$5:$K$204,0)),"")</x:f>
      </x:c>
      <x:c r="G133" s="18" t="str">
        <x:f>IFERROR(INDEX('VIP Signups'!H$5:H$204,MATCH(ROWS($A$5:A133),'VIP Signups'!$K$5:$K$204,0)),"")</x:f>
      </x:c>
    </x:row>
    <x:row r="134">
      <x:c r="A134" s="18" t="str">
        <x:f>IFERROR(INDEX('VIP Signups'!A$5:A$204,MATCH(ROWS($A$5:A134),'VIP Signups'!$K$5:$K$204,0)),"")</x:f>
      </x:c>
      <x:c r="B134" s="18" t="str">
        <x:f>IFERROR(INDEX('VIP Signups'!D$5:D$204,MATCH(ROWS($A$5:A134),'VIP Signups'!$K$5:$K$204,0)),"")</x:f>
      </x:c>
      <x:c r="C134" s="18" t="str">
        <x:f>IFERROR(INDEX('VIP Signups'!F$5:F$204,MATCH(ROWS($A$5:A134),'VIP Signups'!$K$5:$K$204,0)),"")</x:f>
      </x:c>
      <x:c r="D134" s="18" t="str">
        <x:f>IFERROR(INDEX('VIP Signups'!M$5:M$204,MATCH(ROWS($A$5:A134),'VIP Signups'!$K$5:$K$204,0)),"")</x:f>
      </x:c>
      <x:c r="E134" s="18" t="str">
        <x:f>IFERROR(INDEX('VIP Signups'!C$5:C$204,MATCH(ROWS($A$5:A134),'VIP Signups'!$K$5:$K$204,0)),"")</x:f>
      </x:c>
      <x:c r="F134" s="18" t="str">
        <x:f>IFERROR(INDEX('VIP Signups'!E$5:E$204,MATCH(ROWS($A$5:A134),'VIP Signups'!$K$5:$K$204,0)),"")</x:f>
      </x:c>
      <x:c r="G134" s="18" t="str">
        <x:f>IFERROR(INDEX('VIP Signups'!H$5:H$204,MATCH(ROWS($A$5:A134),'VIP Signups'!$K$5:$K$204,0)),"")</x:f>
      </x:c>
    </x:row>
    <x:row r="135">
      <x:c r="A135" s="18" t="str">
        <x:f>IFERROR(INDEX('VIP Signups'!A$5:A$204,MATCH(ROWS($A$5:A135),'VIP Signups'!$K$5:$K$204,0)),"")</x:f>
      </x:c>
      <x:c r="B135" s="18" t="str">
        <x:f>IFERROR(INDEX('VIP Signups'!D$5:D$204,MATCH(ROWS($A$5:A135),'VIP Signups'!$K$5:$K$204,0)),"")</x:f>
      </x:c>
      <x:c r="C135" s="18" t="str">
        <x:f>IFERROR(INDEX('VIP Signups'!F$5:F$204,MATCH(ROWS($A$5:A135),'VIP Signups'!$K$5:$K$204,0)),"")</x:f>
      </x:c>
      <x:c r="D135" s="18" t="str">
        <x:f>IFERROR(INDEX('VIP Signups'!M$5:M$204,MATCH(ROWS($A$5:A135),'VIP Signups'!$K$5:$K$204,0)),"")</x:f>
      </x:c>
      <x:c r="E135" s="18" t="str">
        <x:f>IFERROR(INDEX('VIP Signups'!C$5:C$204,MATCH(ROWS($A$5:A135),'VIP Signups'!$K$5:$K$204,0)),"")</x:f>
      </x:c>
      <x:c r="F135" s="18" t="str">
        <x:f>IFERROR(INDEX('VIP Signups'!E$5:E$204,MATCH(ROWS($A$5:A135),'VIP Signups'!$K$5:$K$204,0)),"")</x:f>
      </x:c>
      <x:c r="G135" s="18" t="str">
        <x:f>IFERROR(INDEX('VIP Signups'!H$5:H$204,MATCH(ROWS($A$5:A135),'VIP Signups'!$K$5:$K$204,0)),"")</x:f>
      </x:c>
    </x:row>
    <x:row r="136">
      <x:c r="A136" s="18" t="str">
        <x:f>IFERROR(INDEX('VIP Signups'!A$5:A$204,MATCH(ROWS($A$5:A136),'VIP Signups'!$K$5:$K$204,0)),"")</x:f>
      </x:c>
      <x:c r="B136" s="18" t="str">
        <x:f>IFERROR(INDEX('VIP Signups'!D$5:D$204,MATCH(ROWS($A$5:A136),'VIP Signups'!$K$5:$K$204,0)),"")</x:f>
      </x:c>
      <x:c r="C136" s="18" t="str">
        <x:f>IFERROR(INDEX('VIP Signups'!F$5:F$204,MATCH(ROWS($A$5:A136),'VIP Signups'!$K$5:$K$204,0)),"")</x:f>
      </x:c>
      <x:c r="D136" s="18" t="str">
        <x:f>IFERROR(INDEX('VIP Signups'!M$5:M$204,MATCH(ROWS($A$5:A136),'VIP Signups'!$K$5:$K$204,0)),"")</x:f>
      </x:c>
      <x:c r="E136" s="18" t="str">
        <x:f>IFERROR(INDEX('VIP Signups'!C$5:C$204,MATCH(ROWS($A$5:A136),'VIP Signups'!$K$5:$K$204,0)),"")</x:f>
      </x:c>
      <x:c r="F136" s="18" t="str">
        <x:f>IFERROR(INDEX('VIP Signups'!E$5:E$204,MATCH(ROWS($A$5:A136),'VIP Signups'!$K$5:$K$204,0)),"")</x:f>
      </x:c>
      <x:c r="G136" s="18" t="str">
        <x:f>IFERROR(INDEX('VIP Signups'!H$5:H$204,MATCH(ROWS($A$5:A136),'VIP Signups'!$K$5:$K$204,0)),"")</x:f>
      </x:c>
    </x:row>
    <x:row r="137">
      <x:c r="A137" s="18" t="str">
        <x:f>IFERROR(INDEX('VIP Signups'!A$5:A$204,MATCH(ROWS($A$5:A137),'VIP Signups'!$K$5:$K$204,0)),"")</x:f>
      </x:c>
      <x:c r="B137" s="18" t="str">
        <x:f>IFERROR(INDEX('VIP Signups'!D$5:D$204,MATCH(ROWS($A$5:A137),'VIP Signups'!$K$5:$K$204,0)),"")</x:f>
      </x:c>
      <x:c r="C137" s="18" t="str">
        <x:f>IFERROR(INDEX('VIP Signups'!F$5:F$204,MATCH(ROWS($A$5:A137),'VIP Signups'!$K$5:$K$204,0)),"")</x:f>
      </x:c>
      <x:c r="D137" s="18" t="str">
        <x:f>IFERROR(INDEX('VIP Signups'!M$5:M$204,MATCH(ROWS($A$5:A137),'VIP Signups'!$K$5:$K$204,0)),"")</x:f>
      </x:c>
      <x:c r="E137" s="18" t="str">
        <x:f>IFERROR(INDEX('VIP Signups'!C$5:C$204,MATCH(ROWS($A$5:A137),'VIP Signups'!$K$5:$K$204,0)),"")</x:f>
      </x:c>
      <x:c r="F137" s="18" t="str">
        <x:f>IFERROR(INDEX('VIP Signups'!E$5:E$204,MATCH(ROWS($A$5:A137),'VIP Signups'!$K$5:$K$204,0)),"")</x:f>
      </x:c>
      <x:c r="G137" s="18" t="str">
        <x:f>IFERROR(INDEX('VIP Signups'!H$5:H$204,MATCH(ROWS($A$5:A137),'VIP Signups'!$K$5:$K$204,0)),"")</x:f>
      </x:c>
    </x:row>
    <x:row r="138">
      <x:c r="A138" s="18" t="str">
        <x:f>IFERROR(INDEX('VIP Signups'!A$5:A$204,MATCH(ROWS($A$5:A138),'VIP Signups'!$K$5:$K$204,0)),"")</x:f>
      </x:c>
      <x:c r="B138" s="18" t="str">
        <x:f>IFERROR(INDEX('VIP Signups'!D$5:D$204,MATCH(ROWS($A$5:A138),'VIP Signups'!$K$5:$K$204,0)),"")</x:f>
      </x:c>
      <x:c r="C138" s="18" t="str">
        <x:f>IFERROR(INDEX('VIP Signups'!F$5:F$204,MATCH(ROWS($A$5:A138),'VIP Signups'!$K$5:$K$204,0)),"")</x:f>
      </x:c>
      <x:c r="D138" s="18" t="str">
        <x:f>IFERROR(INDEX('VIP Signups'!M$5:M$204,MATCH(ROWS($A$5:A138),'VIP Signups'!$K$5:$K$204,0)),"")</x:f>
      </x:c>
      <x:c r="E138" s="18" t="str">
        <x:f>IFERROR(INDEX('VIP Signups'!C$5:C$204,MATCH(ROWS($A$5:A138),'VIP Signups'!$K$5:$K$204,0)),"")</x:f>
      </x:c>
      <x:c r="F138" s="18" t="str">
        <x:f>IFERROR(INDEX('VIP Signups'!E$5:E$204,MATCH(ROWS($A$5:A138),'VIP Signups'!$K$5:$K$204,0)),"")</x:f>
      </x:c>
      <x:c r="G138" s="18" t="str">
        <x:f>IFERROR(INDEX('VIP Signups'!H$5:H$204,MATCH(ROWS($A$5:A138),'VIP Signups'!$K$5:$K$204,0)),"")</x:f>
      </x:c>
    </x:row>
    <x:row r="139">
      <x:c r="A139" s="18" t="str">
        <x:f>IFERROR(INDEX('VIP Signups'!A$5:A$204,MATCH(ROWS($A$5:A139),'VIP Signups'!$K$5:$K$204,0)),"")</x:f>
      </x:c>
      <x:c r="B139" s="18" t="str">
        <x:f>IFERROR(INDEX('VIP Signups'!D$5:D$204,MATCH(ROWS($A$5:A139),'VIP Signups'!$K$5:$K$204,0)),"")</x:f>
      </x:c>
      <x:c r="C139" s="18" t="str">
        <x:f>IFERROR(INDEX('VIP Signups'!F$5:F$204,MATCH(ROWS($A$5:A139),'VIP Signups'!$K$5:$K$204,0)),"")</x:f>
      </x:c>
      <x:c r="D139" s="18" t="str">
        <x:f>IFERROR(INDEX('VIP Signups'!M$5:M$204,MATCH(ROWS($A$5:A139),'VIP Signups'!$K$5:$K$204,0)),"")</x:f>
      </x:c>
      <x:c r="E139" s="18" t="str">
        <x:f>IFERROR(INDEX('VIP Signups'!C$5:C$204,MATCH(ROWS($A$5:A139),'VIP Signups'!$K$5:$K$204,0)),"")</x:f>
      </x:c>
      <x:c r="F139" s="18" t="str">
        <x:f>IFERROR(INDEX('VIP Signups'!E$5:E$204,MATCH(ROWS($A$5:A139),'VIP Signups'!$K$5:$K$204,0)),"")</x:f>
      </x:c>
      <x:c r="G139" s="18" t="str">
        <x:f>IFERROR(INDEX('VIP Signups'!H$5:H$204,MATCH(ROWS($A$5:A139),'VIP Signups'!$K$5:$K$204,0)),"")</x:f>
      </x:c>
    </x:row>
    <x:row r="140">
      <x:c r="A140" s="18" t="str">
        <x:f>IFERROR(INDEX('VIP Signups'!A$5:A$204,MATCH(ROWS($A$5:A140),'VIP Signups'!$K$5:$K$204,0)),"")</x:f>
      </x:c>
      <x:c r="B140" s="18" t="str">
        <x:f>IFERROR(INDEX('VIP Signups'!D$5:D$204,MATCH(ROWS($A$5:A140),'VIP Signups'!$K$5:$K$204,0)),"")</x:f>
      </x:c>
      <x:c r="C140" s="18" t="str">
        <x:f>IFERROR(INDEX('VIP Signups'!F$5:F$204,MATCH(ROWS($A$5:A140),'VIP Signups'!$K$5:$K$204,0)),"")</x:f>
      </x:c>
      <x:c r="D140" s="18" t="str">
        <x:f>IFERROR(INDEX('VIP Signups'!M$5:M$204,MATCH(ROWS($A$5:A140),'VIP Signups'!$K$5:$K$204,0)),"")</x:f>
      </x:c>
      <x:c r="E140" s="18" t="str">
        <x:f>IFERROR(INDEX('VIP Signups'!C$5:C$204,MATCH(ROWS($A$5:A140),'VIP Signups'!$K$5:$K$204,0)),"")</x:f>
      </x:c>
      <x:c r="F140" s="18" t="str">
        <x:f>IFERROR(INDEX('VIP Signups'!E$5:E$204,MATCH(ROWS($A$5:A140),'VIP Signups'!$K$5:$K$204,0)),"")</x:f>
      </x:c>
      <x:c r="G140" s="18" t="str">
        <x:f>IFERROR(INDEX('VIP Signups'!H$5:H$204,MATCH(ROWS($A$5:A140),'VIP Signups'!$K$5:$K$204,0)),"")</x:f>
      </x:c>
    </x:row>
    <x:row r="141">
      <x:c r="A141" s="18" t="str">
        <x:f>IFERROR(INDEX('VIP Signups'!A$5:A$204,MATCH(ROWS($A$5:A141),'VIP Signups'!$K$5:$K$204,0)),"")</x:f>
      </x:c>
      <x:c r="B141" s="18" t="str">
        <x:f>IFERROR(INDEX('VIP Signups'!D$5:D$204,MATCH(ROWS($A$5:A141),'VIP Signups'!$K$5:$K$204,0)),"")</x:f>
      </x:c>
      <x:c r="C141" s="18" t="str">
        <x:f>IFERROR(INDEX('VIP Signups'!F$5:F$204,MATCH(ROWS($A$5:A141),'VIP Signups'!$K$5:$K$204,0)),"")</x:f>
      </x:c>
      <x:c r="D141" s="18" t="str">
        <x:f>IFERROR(INDEX('VIP Signups'!M$5:M$204,MATCH(ROWS($A$5:A141),'VIP Signups'!$K$5:$K$204,0)),"")</x:f>
      </x:c>
      <x:c r="E141" s="18" t="str">
        <x:f>IFERROR(INDEX('VIP Signups'!C$5:C$204,MATCH(ROWS($A$5:A141),'VIP Signups'!$K$5:$K$204,0)),"")</x:f>
      </x:c>
      <x:c r="F141" s="18" t="str">
        <x:f>IFERROR(INDEX('VIP Signups'!E$5:E$204,MATCH(ROWS($A$5:A141),'VIP Signups'!$K$5:$K$204,0)),"")</x:f>
      </x:c>
      <x:c r="G141" s="18" t="str">
        <x:f>IFERROR(INDEX('VIP Signups'!H$5:H$204,MATCH(ROWS($A$5:A141),'VIP Signups'!$K$5:$K$204,0)),"")</x:f>
      </x:c>
    </x:row>
    <x:row r="142">
      <x:c r="A142" s="18" t="str">
        <x:f>IFERROR(INDEX('VIP Signups'!A$5:A$204,MATCH(ROWS($A$5:A142),'VIP Signups'!$K$5:$K$204,0)),"")</x:f>
      </x:c>
      <x:c r="B142" s="18" t="str">
        <x:f>IFERROR(INDEX('VIP Signups'!D$5:D$204,MATCH(ROWS($A$5:A142),'VIP Signups'!$K$5:$K$204,0)),"")</x:f>
      </x:c>
      <x:c r="C142" s="18" t="str">
        <x:f>IFERROR(INDEX('VIP Signups'!F$5:F$204,MATCH(ROWS($A$5:A142),'VIP Signups'!$K$5:$K$204,0)),"")</x:f>
      </x:c>
      <x:c r="D142" s="18" t="str">
        <x:f>IFERROR(INDEX('VIP Signups'!M$5:M$204,MATCH(ROWS($A$5:A142),'VIP Signups'!$K$5:$K$204,0)),"")</x:f>
      </x:c>
      <x:c r="E142" s="18" t="str">
        <x:f>IFERROR(INDEX('VIP Signups'!C$5:C$204,MATCH(ROWS($A$5:A142),'VIP Signups'!$K$5:$K$204,0)),"")</x:f>
      </x:c>
      <x:c r="F142" s="18" t="str">
        <x:f>IFERROR(INDEX('VIP Signups'!E$5:E$204,MATCH(ROWS($A$5:A142),'VIP Signups'!$K$5:$K$204,0)),"")</x:f>
      </x:c>
      <x:c r="G142" s="18" t="str">
        <x:f>IFERROR(INDEX('VIP Signups'!H$5:H$204,MATCH(ROWS($A$5:A142),'VIP Signups'!$K$5:$K$204,0)),"")</x:f>
      </x:c>
    </x:row>
    <x:row r="143">
      <x:c r="A143" s="18" t="str">
        <x:f>IFERROR(INDEX('VIP Signups'!A$5:A$204,MATCH(ROWS($A$5:A143),'VIP Signups'!$K$5:$K$204,0)),"")</x:f>
      </x:c>
      <x:c r="B143" s="18" t="str">
        <x:f>IFERROR(INDEX('VIP Signups'!D$5:D$204,MATCH(ROWS($A$5:A143),'VIP Signups'!$K$5:$K$204,0)),"")</x:f>
      </x:c>
      <x:c r="C143" s="18" t="str">
        <x:f>IFERROR(INDEX('VIP Signups'!F$5:F$204,MATCH(ROWS($A$5:A143),'VIP Signups'!$K$5:$K$204,0)),"")</x:f>
      </x:c>
      <x:c r="D143" s="18" t="str">
        <x:f>IFERROR(INDEX('VIP Signups'!M$5:M$204,MATCH(ROWS($A$5:A143),'VIP Signups'!$K$5:$K$204,0)),"")</x:f>
      </x:c>
      <x:c r="E143" s="18" t="str">
        <x:f>IFERROR(INDEX('VIP Signups'!C$5:C$204,MATCH(ROWS($A$5:A143),'VIP Signups'!$K$5:$K$204,0)),"")</x:f>
      </x:c>
      <x:c r="F143" s="18" t="str">
        <x:f>IFERROR(INDEX('VIP Signups'!E$5:E$204,MATCH(ROWS($A$5:A143),'VIP Signups'!$K$5:$K$204,0)),"")</x:f>
      </x:c>
      <x:c r="G143" s="18" t="str">
        <x:f>IFERROR(INDEX('VIP Signups'!H$5:H$204,MATCH(ROWS($A$5:A143),'VIP Signups'!$K$5:$K$204,0)),"")</x:f>
      </x:c>
    </x:row>
    <x:row r="144">
      <x:c r="A144" s="18" t="str">
        <x:f>IFERROR(INDEX('VIP Signups'!A$5:A$204,MATCH(ROWS($A$5:A144),'VIP Signups'!$K$5:$K$204,0)),"")</x:f>
      </x:c>
      <x:c r="B144" s="18" t="str">
        <x:f>IFERROR(INDEX('VIP Signups'!D$5:D$204,MATCH(ROWS($A$5:A144),'VIP Signups'!$K$5:$K$204,0)),"")</x:f>
      </x:c>
      <x:c r="C144" s="18" t="str">
        <x:f>IFERROR(INDEX('VIP Signups'!F$5:F$204,MATCH(ROWS($A$5:A144),'VIP Signups'!$K$5:$K$204,0)),"")</x:f>
      </x:c>
      <x:c r="D144" s="18" t="str">
        <x:f>IFERROR(INDEX('VIP Signups'!M$5:M$204,MATCH(ROWS($A$5:A144),'VIP Signups'!$K$5:$K$204,0)),"")</x:f>
      </x:c>
      <x:c r="E144" s="18" t="str">
        <x:f>IFERROR(INDEX('VIP Signups'!C$5:C$204,MATCH(ROWS($A$5:A144),'VIP Signups'!$K$5:$K$204,0)),"")</x:f>
      </x:c>
      <x:c r="F144" s="18" t="str">
        <x:f>IFERROR(INDEX('VIP Signups'!E$5:E$204,MATCH(ROWS($A$5:A144),'VIP Signups'!$K$5:$K$204,0)),"")</x:f>
      </x:c>
      <x:c r="G144" s="18" t="str">
        <x:f>IFERROR(INDEX('VIP Signups'!H$5:H$204,MATCH(ROWS($A$5:A144),'VIP Signups'!$K$5:$K$204,0)),"")</x:f>
      </x:c>
    </x:row>
    <x:row r="145">
      <x:c r="A145" s="18" t="str">
        <x:f>IFERROR(INDEX('VIP Signups'!A$5:A$204,MATCH(ROWS($A$5:A145),'VIP Signups'!$K$5:$K$204,0)),"")</x:f>
      </x:c>
      <x:c r="B145" s="18" t="str">
        <x:f>IFERROR(INDEX('VIP Signups'!D$5:D$204,MATCH(ROWS($A$5:A145),'VIP Signups'!$K$5:$K$204,0)),"")</x:f>
      </x:c>
      <x:c r="C145" s="18" t="str">
        <x:f>IFERROR(INDEX('VIP Signups'!F$5:F$204,MATCH(ROWS($A$5:A145),'VIP Signups'!$K$5:$K$204,0)),"")</x:f>
      </x:c>
      <x:c r="D145" s="18" t="str">
        <x:f>IFERROR(INDEX('VIP Signups'!M$5:M$204,MATCH(ROWS($A$5:A145),'VIP Signups'!$K$5:$K$204,0)),"")</x:f>
      </x:c>
      <x:c r="E145" s="18" t="str">
        <x:f>IFERROR(INDEX('VIP Signups'!C$5:C$204,MATCH(ROWS($A$5:A145),'VIP Signups'!$K$5:$K$204,0)),"")</x:f>
      </x:c>
      <x:c r="F145" s="18" t="str">
        <x:f>IFERROR(INDEX('VIP Signups'!E$5:E$204,MATCH(ROWS($A$5:A145),'VIP Signups'!$K$5:$K$204,0)),"")</x:f>
      </x:c>
      <x:c r="G145" s="18" t="str">
        <x:f>IFERROR(INDEX('VIP Signups'!H$5:H$204,MATCH(ROWS($A$5:A145),'VIP Signups'!$K$5:$K$204,0)),"")</x:f>
      </x:c>
    </x:row>
    <x:row r="146">
      <x:c r="A146" s="18" t="str">
        <x:f>IFERROR(INDEX('VIP Signups'!A$5:A$204,MATCH(ROWS($A$5:A146),'VIP Signups'!$K$5:$K$204,0)),"")</x:f>
      </x:c>
      <x:c r="B146" s="18" t="str">
        <x:f>IFERROR(INDEX('VIP Signups'!D$5:D$204,MATCH(ROWS($A$5:A146),'VIP Signups'!$K$5:$K$204,0)),"")</x:f>
      </x:c>
      <x:c r="C146" s="18" t="str">
        <x:f>IFERROR(INDEX('VIP Signups'!F$5:F$204,MATCH(ROWS($A$5:A146),'VIP Signups'!$K$5:$K$204,0)),"")</x:f>
      </x:c>
      <x:c r="D146" s="18" t="str">
        <x:f>IFERROR(INDEX('VIP Signups'!M$5:M$204,MATCH(ROWS($A$5:A146),'VIP Signups'!$K$5:$K$204,0)),"")</x:f>
      </x:c>
      <x:c r="E146" s="18" t="str">
        <x:f>IFERROR(INDEX('VIP Signups'!C$5:C$204,MATCH(ROWS($A$5:A146),'VIP Signups'!$K$5:$K$204,0)),"")</x:f>
      </x:c>
      <x:c r="F146" s="18" t="str">
        <x:f>IFERROR(INDEX('VIP Signups'!E$5:E$204,MATCH(ROWS($A$5:A146),'VIP Signups'!$K$5:$K$204,0)),"")</x:f>
      </x:c>
      <x:c r="G146" s="18" t="str">
        <x:f>IFERROR(INDEX('VIP Signups'!H$5:H$204,MATCH(ROWS($A$5:A146),'VIP Signups'!$K$5:$K$204,0)),"")</x:f>
      </x:c>
    </x:row>
    <x:row r="147">
      <x:c r="A147" s="18" t="str">
        <x:f>IFERROR(INDEX('VIP Signups'!A$5:A$204,MATCH(ROWS($A$5:A147),'VIP Signups'!$K$5:$K$204,0)),"")</x:f>
      </x:c>
      <x:c r="B147" s="18" t="str">
        <x:f>IFERROR(INDEX('VIP Signups'!D$5:D$204,MATCH(ROWS($A$5:A147),'VIP Signups'!$K$5:$K$204,0)),"")</x:f>
      </x:c>
      <x:c r="C147" s="18" t="str">
        <x:f>IFERROR(INDEX('VIP Signups'!F$5:F$204,MATCH(ROWS($A$5:A147),'VIP Signups'!$K$5:$K$204,0)),"")</x:f>
      </x:c>
      <x:c r="D147" s="18" t="str">
        <x:f>IFERROR(INDEX('VIP Signups'!M$5:M$204,MATCH(ROWS($A$5:A147),'VIP Signups'!$K$5:$K$204,0)),"")</x:f>
      </x:c>
      <x:c r="E147" s="18" t="str">
        <x:f>IFERROR(INDEX('VIP Signups'!C$5:C$204,MATCH(ROWS($A$5:A147),'VIP Signups'!$K$5:$K$204,0)),"")</x:f>
      </x:c>
      <x:c r="F147" s="18" t="str">
        <x:f>IFERROR(INDEX('VIP Signups'!E$5:E$204,MATCH(ROWS($A$5:A147),'VIP Signups'!$K$5:$K$204,0)),"")</x:f>
      </x:c>
      <x:c r="G147" s="18" t="str">
        <x:f>IFERROR(INDEX('VIP Signups'!H$5:H$204,MATCH(ROWS($A$5:A147),'VIP Signups'!$K$5:$K$204,0)),"")</x:f>
      </x:c>
    </x:row>
    <x:row r="148">
      <x:c r="A148" s="18" t="str">
        <x:f>IFERROR(INDEX('VIP Signups'!A$5:A$204,MATCH(ROWS($A$5:A148),'VIP Signups'!$K$5:$K$204,0)),"")</x:f>
      </x:c>
      <x:c r="B148" s="18" t="str">
        <x:f>IFERROR(INDEX('VIP Signups'!D$5:D$204,MATCH(ROWS($A$5:A148),'VIP Signups'!$K$5:$K$204,0)),"")</x:f>
      </x:c>
      <x:c r="C148" s="18" t="str">
        <x:f>IFERROR(INDEX('VIP Signups'!F$5:F$204,MATCH(ROWS($A$5:A148),'VIP Signups'!$K$5:$K$204,0)),"")</x:f>
      </x:c>
      <x:c r="D148" s="18" t="str">
        <x:f>IFERROR(INDEX('VIP Signups'!M$5:M$204,MATCH(ROWS($A$5:A148),'VIP Signups'!$K$5:$K$204,0)),"")</x:f>
      </x:c>
      <x:c r="E148" s="18" t="str">
        <x:f>IFERROR(INDEX('VIP Signups'!C$5:C$204,MATCH(ROWS($A$5:A148),'VIP Signups'!$K$5:$K$204,0)),"")</x:f>
      </x:c>
      <x:c r="F148" s="18" t="str">
        <x:f>IFERROR(INDEX('VIP Signups'!E$5:E$204,MATCH(ROWS($A$5:A148),'VIP Signups'!$K$5:$K$204,0)),"")</x:f>
      </x:c>
      <x:c r="G148" s="18" t="str">
        <x:f>IFERROR(INDEX('VIP Signups'!H$5:H$204,MATCH(ROWS($A$5:A148),'VIP Signups'!$K$5:$K$204,0)),"")</x:f>
      </x:c>
    </x:row>
    <x:row r="149">
      <x:c r="A149" s="18" t="str">
        <x:f>IFERROR(INDEX('VIP Signups'!A$5:A$204,MATCH(ROWS($A$5:A149),'VIP Signups'!$K$5:$K$204,0)),"")</x:f>
      </x:c>
      <x:c r="B149" s="18" t="str">
        <x:f>IFERROR(INDEX('VIP Signups'!D$5:D$204,MATCH(ROWS($A$5:A149),'VIP Signups'!$K$5:$K$204,0)),"")</x:f>
      </x:c>
      <x:c r="C149" s="18" t="str">
        <x:f>IFERROR(INDEX('VIP Signups'!F$5:F$204,MATCH(ROWS($A$5:A149),'VIP Signups'!$K$5:$K$204,0)),"")</x:f>
      </x:c>
      <x:c r="D149" s="18" t="str">
        <x:f>IFERROR(INDEX('VIP Signups'!M$5:M$204,MATCH(ROWS($A$5:A149),'VIP Signups'!$K$5:$K$204,0)),"")</x:f>
      </x:c>
      <x:c r="E149" s="18" t="str">
        <x:f>IFERROR(INDEX('VIP Signups'!C$5:C$204,MATCH(ROWS($A$5:A149),'VIP Signups'!$K$5:$K$204,0)),"")</x:f>
      </x:c>
      <x:c r="F149" s="18" t="str">
        <x:f>IFERROR(INDEX('VIP Signups'!E$5:E$204,MATCH(ROWS($A$5:A149),'VIP Signups'!$K$5:$K$204,0)),"")</x:f>
      </x:c>
      <x:c r="G149" s="18" t="str">
        <x:f>IFERROR(INDEX('VIP Signups'!H$5:H$204,MATCH(ROWS($A$5:A149),'VIP Signups'!$K$5:$K$204,0)),"")</x:f>
      </x:c>
    </x:row>
    <x:row r="150">
      <x:c r="A150" s="18" t="str">
        <x:f>IFERROR(INDEX('VIP Signups'!A$5:A$204,MATCH(ROWS($A$5:A150),'VIP Signups'!$K$5:$K$204,0)),"")</x:f>
      </x:c>
      <x:c r="B150" s="18" t="str">
        <x:f>IFERROR(INDEX('VIP Signups'!D$5:D$204,MATCH(ROWS($A$5:A150),'VIP Signups'!$K$5:$K$204,0)),"")</x:f>
      </x:c>
      <x:c r="C150" s="18" t="str">
        <x:f>IFERROR(INDEX('VIP Signups'!F$5:F$204,MATCH(ROWS($A$5:A150),'VIP Signups'!$K$5:$K$204,0)),"")</x:f>
      </x:c>
      <x:c r="D150" s="18" t="str">
        <x:f>IFERROR(INDEX('VIP Signups'!M$5:M$204,MATCH(ROWS($A$5:A150),'VIP Signups'!$K$5:$K$204,0)),"")</x:f>
      </x:c>
      <x:c r="E150" s="18" t="str">
        <x:f>IFERROR(INDEX('VIP Signups'!C$5:C$204,MATCH(ROWS($A$5:A150),'VIP Signups'!$K$5:$K$204,0)),"")</x:f>
      </x:c>
      <x:c r="F150" s="18" t="str">
        <x:f>IFERROR(INDEX('VIP Signups'!E$5:E$204,MATCH(ROWS($A$5:A150),'VIP Signups'!$K$5:$K$204,0)),"")</x:f>
      </x:c>
      <x:c r="G150" s="18" t="str">
        <x:f>IFERROR(INDEX('VIP Signups'!H$5:H$204,MATCH(ROWS($A$5:A150),'VIP Signups'!$K$5:$K$204,0)),"")</x:f>
      </x:c>
    </x:row>
    <x:row r="151">
      <x:c r="A151" s="18" t="str">
        <x:f>IFERROR(INDEX('VIP Signups'!A$5:A$204,MATCH(ROWS($A$5:A151),'VIP Signups'!$K$5:$K$204,0)),"")</x:f>
      </x:c>
      <x:c r="B151" s="18" t="str">
        <x:f>IFERROR(INDEX('VIP Signups'!D$5:D$204,MATCH(ROWS($A$5:A151),'VIP Signups'!$K$5:$K$204,0)),"")</x:f>
      </x:c>
      <x:c r="C151" s="18" t="str">
        <x:f>IFERROR(INDEX('VIP Signups'!F$5:F$204,MATCH(ROWS($A$5:A151),'VIP Signups'!$K$5:$K$204,0)),"")</x:f>
      </x:c>
      <x:c r="D151" s="18" t="str">
        <x:f>IFERROR(INDEX('VIP Signups'!M$5:M$204,MATCH(ROWS($A$5:A151),'VIP Signups'!$K$5:$K$204,0)),"")</x:f>
      </x:c>
      <x:c r="E151" s="18" t="str">
        <x:f>IFERROR(INDEX('VIP Signups'!C$5:C$204,MATCH(ROWS($A$5:A151),'VIP Signups'!$K$5:$K$204,0)),"")</x:f>
      </x:c>
      <x:c r="F151" s="18" t="str">
        <x:f>IFERROR(INDEX('VIP Signups'!E$5:E$204,MATCH(ROWS($A$5:A151),'VIP Signups'!$K$5:$K$204,0)),"")</x:f>
      </x:c>
      <x:c r="G151" s="18" t="str">
        <x:f>IFERROR(INDEX('VIP Signups'!H$5:H$204,MATCH(ROWS($A$5:A151),'VIP Signups'!$K$5:$K$204,0)),"")</x:f>
      </x:c>
    </x:row>
    <x:row r="152">
      <x:c r="A152" s="18" t="str">
        <x:f>IFERROR(INDEX('VIP Signups'!A$5:A$204,MATCH(ROWS($A$5:A152),'VIP Signups'!$K$5:$K$204,0)),"")</x:f>
      </x:c>
      <x:c r="B152" s="18" t="str">
        <x:f>IFERROR(INDEX('VIP Signups'!D$5:D$204,MATCH(ROWS($A$5:A152),'VIP Signups'!$K$5:$K$204,0)),"")</x:f>
      </x:c>
      <x:c r="C152" s="18" t="str">
        <x:f>IFERROR(INDEX('VIP Signups'!F$5:F$204,MATCH(ROWS($A$5:A152),'VIP Signups'!$K$5:$K$204,0)),"")</x:f>
      </x:c>
      <x:c r="D152" s="18" t="str">
        <x:f>IFERROR(INDEX('VIP Signups'!M$5:M$204,MATCH(ROWS($A$5:A152),'VIP Signups'!$K$5:$K$204,0)),"")</x:f>
      </x:c>
      <x:c r="E152" s="18" t="str">
        <x:f>IFERROR(INDEX('VIP Signups'!C$5:C$204,MATCH(ROWS($A$5:A152),'VIP Signups'!$K$5:$K$204,0)),"")</x:f>
      </x:c>
      <x:c r="F152" s="18" t="str">
        <x:f>IFERROR(INDEX('VIP Signups'!E$5:E$204,MATCH(ROWS($A$5:A152),'VIP Signups'!$K$5:$K$204,0)),"")</x:f>
      </x:c>
      <x:c r="G152" s="18" t="str">
        <x:f>IFERROR(INDEX('VIP Signups'!H$5:H$204,MATCH(ROWS($A$5:A152),'VIP Signups'!$K$5:$K$204,0)),"")</x:f>
      </x:c>
    </x:row>
    <x:row r="153">
      <x:c r="A153" s="18" t="str">
        <x:f>IFERROR(INDEX('VIP Signups'!A$5:A$204,MATCH(ROWS($A$5:A153),'VIP Signups'!$K$5:$K$204,0)),"")</x:f>
      </x:c>
      <x:c r="B153" s="18" t="str">
        <x:f>IFERROR(INDEX('VIP Signups'!D$5:D$204,MATCH(ROWS($A$5:A153),'VIP Signups'!$K$5:$K$204,0)),"")</x:f>
      </x:c>
      <x:c r="C153" s="18" t="str">
        <x:f>IFERROR(INDEX('VIP Signups'!F$5:F$204,MATCH(ROWS($A$5:A153),'VIP Signups'!$K$5:$K$204,0)),"")</x:f>
      </x:c>
      <x:c r="D153" s="18" t="str">
        <x:f>IFERROR(INDEX('VIP Signups'!M$5:M$204,MATCH(ROWS($A$5:A153),'VIP Signups'!$K$5:$K$204,0)),"")</x:f>
      </x:c>
      <x:c r="E153" s="18" t="str">
        <x:f>IFERROR(INDEX('VIP Signups'!C$5:C$204,MATCH(ROWS($A$5:A153),'VIP Signups'!$K$5:$K$204,0)),"")</x:f>
      </x:c>
      <x:c r="F153" s="18" t="str">
        <x:f>IFERROR(INDEX('VIP Signups'!E$5:E$204,MATCH(ROWS($A$5:A153),'VIP Signups'!$K$5:$K$204,0)),"")</x:f>
      </x:c>
      <x:c r="G153" s="18" t="str">
        <x:f>IFERROR(INDEX('VIP Signups'!H$5:H$204,MATCH(ROWS($A$5:A153),'VIP Signups'!$K$5:$K$204,0)),"")</x:f>
      </x:c>
    </x:row>
    <x:row r="154">
      <x:c r="A154" s="18" t="str">
        <x:f>IFERROR(INDEX('VIP Signups'!A$5:A$204,MATCH(ROWS($A$5:A154),'VIP Signups'!$K$5:$K$204,0)),"")</x:f>
      </x:c>
      <x:c r="B154" s="18" t="str">
        <x:f>IFERROR(INDEX('VIP Signups'!D$5:D$204,MATCH(ROWS($A$5:A154),'VIP Signups'!$K$5:$K$204,0)),"")</x:f>
      </x:c>
      <x:c r="C154" s="18" t="str">
        <x:f>IFERROR(INDEX('VIP Signups'!F$5:F$204,MATCH(ROWS($A$5:A154),'VIP Signups'!$K$5:$K$204,0)),"")</x:f>
      </x:c>
      <x:c r="D154" s="18" t="str">
        <x:f>IFERROR(INDEX('VIP Signups'!M$5:M$204,MATCH(ROWS($A$5:A154),'VIP Signups'!$K$5:$K$204,0)),"")</x:f>
      </x:c>
      <x:c r="E154" s="18" t="str">
        <x:f>IFERROR(INDEX('VIP Signups'!C$5:C$204,MATCH(ROWS($A$5:A154),'VIP Signups'!$K$5:$K$204,0)),"")</x:f>
      </x:c>
      <x:c r="F154" s="18" t="str">
        <x:f>IFERROR(INDEX('VIP Signups'!E$5:E$204,MATCH(ROWS($A$5:A154),'VIP Signups'!$K$5:$K$204,0)),"")</x:f>
      </x:c>
      <x:c r="G154" s="18" t="str">
        <x:f>IFERROR(INDEX('VIP Signups'!H$5:H$204,MATCH(ROWS($A$5:A154),'VIP Signups'!$K$5:$K$204,0)),"")</x:f>
      </x:c>
    </x:row>
    <x:row r="155">
      <x:c r="A155" s="18" t="str">
        <x:f>IFERROR(INDEX('VIP Signups'!A$5:A$204,MATCH(ROWS($A$5:A155),'VIP Signups'!$K$5:$K$204,0)),"")</x:f>
      </x:c>
      <x:c r="B155" s="18" t="str">
        <x:f>IFERROR(INDEX('VIP Signups'!D$5:D$204,MATCH(ROWS($A$5:A155),'VIP Signups'!$K$5:$K$204,0)),"")</x:f>
      </x:c>
      <x:c r="C155" s="18" t="str">
        <x:f>IFERROR(INDEX('VIP Signups'!F$5:F$204,MATCH(ROWS($A$5:A155),'VIP Signups'!$K$5:$K$204,0)),"")</x:f>
      </x:c>
      <x:c r="D155" s="18" t="str">
        <x:f>IFERROR(INDEX('VIP Signups'!M$5:M$204,MATCH(ROWS($A$5:A155),'VIP Signups'!$K$5:$K$204,0)),"")</x:f>
      </x:c>
      <x:c r="E155" s="18" t="str">
        <x:f>IFERROR(INDEX('VIP Signups'!C$5:C$204,MATCH(ROWS($A$5:A155),'VIP Signups'!$K$5:$K$204,0)),"")</x:f>
      </x:c>
      <x:c r="F155" s="18" t="str">
        <x:f>IFERROR(INDEX('VIP Signups'!E$5:E$204,MATCH(ROWS($A$5:A155),'VIP Signups'!$K$5:$K$204,0)),"")</x:f>
      </x:c>
      <x:c r="G155" s="18" t="str">
        <x:f>IFERROR(INDEX('VIP Signups'!H$5:H$204,MATCH(ROWS($A$5:A155),'VIP Signups'!$K$5:$K$204,0)),"")</x:f>
      </x:c>
    </x:row>
    <x:row r="156">
      <x:c r="A156" s="18" t="str">
        <x:f>IFERROR(INDEX('VIP Signups'!A$5:A$204,MATCH(ROWS($A$5:A156),'VIP Signups'!$K$5:$K$204,0)),"")</x:f>
      </x:c>
      <x:c r="B156" s="18" t="str">
        <x:f>IFERROR(INDEX('VIP Signups'!D$5:D$204,MATCH(ROWS($A$5:A156),'VIP Signups'!$K$5:$K$204,0)),"")</x:f>
      </x:c>
      <x:c r="C156" s="18" t="str">
        <x:f>IFERROR(INDEX('VIP Signups'!F$5:F$204,MATCH(ROWS($A$5:A156),'VIP Signups'!$K$5:$K$204,0)),"")</x:f>
      </x:c>
      <x:c r="D156" s="18" t="str">
        <x:f>IFERROR(INDEX('VIP Signups'!M$5:M$204,MATCH(ROWS($A$5:A156),'VIP Signups'!$K$5:$K$204,0)),"")</x:f>
      </x:c>
      <x:c r="E156" s="18" t="str">
        <x:f>IFERROR(INDEX('VIP Signups'!C$5:C$204,MATCH(ROWS($A$5:A156),'VIP Signups'!$K$5:$K$204,0)),"")</x:f>
      </x:c>
      <x:c r="F156" s="18" t="str">
        <x:f>IFERROR(INDEX('VIP Signups'!E$5:E$204,MATCH(ROWS($A$5:A156),'VIP Signups'!$K$5:$K$204,0)),"")</x:f>
      </x:c>
      <x:c r="G156" s="18" t="str">
        <x:f>IFERROR(INDEX('VIP Signups'!H$5:H$204,MATCH(ROWS($A$5:A156),'VIP Signups'!$K$5:$K$204,0)),"")</x:f>
      </x:c>
    </x:row>
    <x:row r="157">
      <x:c r="A157" s="18" t="str">
        <x:f>IFERROR(INDEX('VIP Signups'!A$5:A$204,MATCH(ROWS($A$5:A157),'VIP Signups'!$K$5:$K$204,0)),"")</x:f>
      </x:c>
      <x:c r="B157" s="18" t="str">
        <x:f>IFERROR(INDEX('VIP Signups'!D$5:D$204,MATCH(ROWS($A$5:A157),'VIP Signups'!$K$5:$K$204,0)),"")</x:f>
      </x:c>
      <x:c r="C157" s="18" t="str">
        <x:f>IFERROR(INDEX('VIP Signups'!F$5:F$204,MATCH(ROWS($A$5:A157),'VIP Signups'!$K$5:$K$204,0)),"")</x:f>
      </x:c>
      <x:c r="D157" s="18" t="str">
        <x:f>IFERROR(INDEX('VIP Signups'!M$5:M$204,MATCH(ROWS($A$5:A157),'VIP Signups'!$K$5:$K$204,0)),"")</x:f>
      </x:c>
      <x:c r="E157" s="18" t="str">
        <x:f>IFERROR(INDEX('VIP Signups'!C$5:C$204,MATCH(ROWS($A$5:A157),'VIP Signups'!$K$5:$K$204,0)),"")</x:f>
      </x:c>
      <x:c r="F157" s="18" t="str">
        <x:f>IFERROR(INDEX('VIP Signups'!E$5:E$204,MATCH(ROWS($A$5:A157),'VIP Signups'!$K$5:$K$204,0)),"")</x:f>
      </x:c>
      <x:c r="G157" s="18" t="str">
        <x:f>IFERROR(INDEX('VIP Signups'!H$5:H$204,MATCH(ROWS($A$5:A157),'VIP Signups'!$K$5:$K$204,0)),"")</x:f>
      </x:c>
    </x:row>
    <x:row r="158">
      <x:c r="A158" s="18" t="str">
        <x:f>IFERROR(INDEX('VIP Signups'!A$5:A$204,MATCH(ROWS($A$5:A158),'VIP Signups'!$K$5:$K$204,0)),"")</x:f>
      </x:c>
      <x:c r="B158" s="18" t="str">
        <x:f>IFERROR(INDEX('VIP Signups'!D$5:D$204,MATCH(ROWS($A$5:A158),'VIP Signups'!$K$5:$K$204,0)),"")</x:f>
      </x:c>
      <x:c r="C158" s="18" t="str">
        <x:f>IFERROR(INDEX('VIP Signups'!F$5:F$204,MATCH(ROWS($A$5:A158),'VIP Signups'!$K$5:$K$204,0)),"")</x:f>
      </x:c>
      <x:c r="D158" s="18" t="str">
        <x:f>IFERROR(INDEX('VIP Signups'!M$5:M$204,MATCH(ROWS($A$5:A158),'VIP Signups'!$K$5:$K$204,0)),"")</x:f>
      </x:c>
      <x:c r="E158" s="18" t="str">
        <x:f>IFERROR(INDEX('VIP Signups'!C$5:C$204,MATCH(ROWS($A$5:A158),'VIP Signups'!$K$5:$K$204,0)),"")</x:f>
      </x:c>
      <x:c r="F158" s="18" t="str">
        <x:f>IFERROR(INDEX('VIP Signups'!E$5:E$204,MATCH(ROWS($A$5:A158),'VIP Signups'!$K$5:$K$204,0)),"")</x:f>
      </x:c>
      <x:c r="G158" s="18" t="str">
        <x:f>IFERROR(INDEX('VIP Signups'!H$5:H$204,MATCH(ROWS($A$5:A158),'VIP Signups'!$K$5:$K$204,0)),"")</x:f>
      </x:c>
    </x:row>
    <x:row r="159">
      <x:c r="A159" s="18" t="str">
        <x:f>IFERROR(INDEX('VIP Signups'!A$5:A$204,MATCH(ROWS($A$5:A159),'VIP Signups'!$K$5:$K$204,0)),"")</x:f>
      </x:c>
      <x:c r="B159" s="18" t="str">
        <x:f>IFERROR(INDEX('VIP Signups'!D$5:D$204,MATCH(ROWS($A$5:A159),'VIP Signups'!$K$5:$K$204,0)),"")</x:f>
      </x:c>
      <x:c r="C159" s="18" t="str">
        <x:f>IFERROR(INDEX('VIP Signups'!F$5:F$204,MATCH(ROWS($A$5:A159),'VIP Signups'!$K$5:$K$204,0)),"")</x:f>
      </x:c>
      <x:c r="D159" s="18" t="str">
        <x:f>IFERROR(INDEX('VIP Signups'!M$5:M$204,MATCH(ROWS($A$5:A159),'VIP Signups'!$K$5:$K$204,0)),"")</x:f>
      </x:c>
      <x:c r="E159" s="18" t="str">
        <x:f>IFERROR(INDEX('VIP Signups'!C$5:C$204,MATCH(ROWS($A$5:A159),'VIP Signups'!$K$5:$K$204,0)),"")</x:f>
      </x:c>
      <x:c r="F159" s="18" t="str">
        <x:f>IFERROR(INDEX('VIP Signups'!E$5:E$204,MATCH(ROWS($A$5:A159),'VIP Signups'!$K$5:$K$204,0)),"")</x:f>
      </x:c>
      <x:c r="G159" s="18" t="str">
        <x:f>IFERROR(INDEX('VIP Signups'!H$5:H$204,MATCH(ROWS($A$5:A159),'VIP Signups'!$K$5:$K$204,0)),"")</x:f>
      </x:c>
    </x:row>
    <x:row r="160">
      <x:c r="A160" s="18" t="str">
        <x:f>IFERROR(INDEX('VIP Signups'!A$5:A$204,MATCH(ROWS($A$5:A160),'VIP Signups'!$K$5:$K$204,0)),"")</x:f>
      </x:c>
      <x:c r="B160" s="18" t="str">
        <x:f>IFERROR(INDEX('VIP Signups'!D$5:D$204,MATCH(ROWS($A$5:A160),'VIP Signups'!$K$5:$K$204,0)),"")</x:f>
      </x:c>
      <x:c r="C160" s="18" t="str">
        <x:f>IFERROR(INDEX('VIP Signups'!F$5:F$204,MATCH(ROWS($A$5:A160),'VIP Signups'!$K$5:$K$204,0)),"")</x:f>
      </x:c>
      <x:c r="D160" s="18" t="str">
        <x:f>IFERROR(INDEX('VIP Signups'!M$5:M$204,MATCH(ROWS($A$5:A160),'VIP Signups'!$K$5:$K$204,0)),"")</x:f>
      </x:c>
      <x:c r="E160" s="18" t="str">
        <x:f>IFERROR(INDEX('VIP Signups'!C$5:C$204,MATCH(ROWS($A$5:A160),'VIP Signups'!$K$5:$K$204,0)),"")</x:f>
      </x:c>
      <x:c r="F160" s="18" t="str">
        <x:f>IFERROR(INDEX('VIP Signups'!E$5:E$204,MATCH(ROWS($A$5:A160),'VIP Signups'!$K$5:$K$204,0)),"")</x:f>
      </x:c>
      <x:c r="G160" s="18" t="str">
        <x:f>IFERROR(INDEX('VIP Signups'!H$5:H$204,MATCH(ROWS($A$5:A160),'VIP Signups'!$K$5:$K$204,0)),"")</x:f>
      </x:c>
    </x:row>
    <x:row r="161">
      <x:c r="A161" s="18" t="str">
        <x:f>IFERROR(INDEX('VIP Signups'!A$5:A$204,MATCH(ROWS($A$5:A161),'VIP Signups'!$K$5:$K$204,0)),"")</x:f>
      </x:c>
      <x:c r="B161" s="18" t="str">
        <x:f>IFERROR(INDEX('VIP Signups'!D$5:D$204,MATCH(ROWS($A$5:A161),'VIP Signups'!$K$5:$K$204,0)),"")</x:f>
      </x:c>
      <x:c r="C161" s="18" t="str">
        <x:f>IFERROR(INDEX('VIP Signups'!F$5:F$204,MATCH(ROWS($A$5:A161),'VIP Signups'!$K$5:$K$204,0)),"")</x:f>
      </x:c>
      <x:c r="D161" s="18" t="str">
        <x:f>IFERROR(INDEX('VIP Signups'!M$5:M$204,MATCH(ROWS($A$5:A161),'VIP Signups'!$K$5:$K$204,0)),"")</x:f>
      </x:c>
      <x:c r="E161" s="18" t="str">
        <x:f>IFERROR(INDEX('VIP Signups'!C$5:C$204,MATCH(ROWS($A$5:A161),'VIP Signups'!$K$5:$K$204,0)),"")</x:f>
      </x:c>
      <x:c r="F161" s="18" t="str">
        <x:f>IFERROR(INDEX('VIP Signups'!E$5:E$204,MATCH(ROWS($A$5:A161),'VIP Signups'!$K$5:$K$204,0)),"")</x:f>
      </x:c>
      <x:c r="G161" s="18" t="str">
        <x:f>IFERROR(INDEX('VIP Signups'!H$5:H$204,MATCH(ROWS($A$5:A161),'VIP Signups'!$K$5:$K$204,0)),"")</x:f>
      </x:c>
    </x:row>
    <x:row r="162">
      <x:c r="A162" s="18" t="str">
        <x:f>IFERROR(INDEX('VIP Signups'!A$5:A$204,MATCH(ROWS($A$5:A162),'VIP Signups'!$K$5:$K$204,0)),"")</x:f>
      </x:c>
      <x:c r="B162" s="18" t="str">
        <x:f>IFERROR(INDEX('VIP Signups'!D$5:D$204,MATCH(ROWS($A$5:A162),'VIP Signups'!$K$5:$K$204,0)),"")</x:f>
      </x:c>
      <x:c r="C162" s="18" t="str">
        <x:f>IFERROR(INDEX('VIP Signups'!F$5:F$204,MATCH(ROWS($A$5:A162),'VIP Signups'!$K$5:$K$204,0)),"")</x:f>
      </x:c>
      <x:c r="D162" s="18" t="str">
        <x:f>IFERROR(INDEX('VIP Signups'!M$5:M$204,MATCH(ROWS($A$5:A162),'VIP Signups'!$K$5:$K$204,0)),"")</x:f>
      </x:c>
      <x:c r="E162" s="18" t="str">
        <x:f>IFERROR(INDEX('VIP Signups'!C$5:C$204,MATCH(ROWS($A$5:A162),'VIP Signups'!$K$5:$K$204,0)),"")</x:f>
      </x:c>
      <x:c r="F162" s="18" t="str">
        <x:f>IFERROR(INDEX('VIP Signups'!E$5:E$204,MATCH(ROWS($A$5:A162),'VIP Signups'!$K$5:$K$204,0)),"")</x:f>
      </x:c>
      <x:c r="G162" s="18" t="str">
        <x:f>IFERROR(INDEX('VIP Signups'!H$5:H$204,MATCH(ROWS($A$5:A162),'VIP Signups'!$K$5:$K$204,0)),"")</x:f>
      </x:c>
    </x:row>
    <x:row r="163">
      <x:c r="A163" s="18" t="str">
        <x:f>IFERROR(INDEX('VIP Signups'!A$5:A$204,MATCH(ROWS($A$5:A163),'VIP Signups'!$K$5:$K$204,0)),"")</x:f>
      </x:c>
      <x:c r="B163" s="18" t="str">
        <x:f>IFERROR(INDEX('VIP Signups'!D$5:D$204,MATCH(ROWS($A$5:A163),'VIP Signups'!$K$5:$K$204,0)),"")</x:f>
      </x:c>
      <x:c r="C163" s="18" t="str">
        <x:f>IFERROR(INDEX('VIP Signups'!F$5:F$204,MATCH(ROWS($A$5:A163),'VIP Signups'!$K$5:$K$204,0)),"")</x:f>
      </x:c>
      <x:c r="D163" s="18" t="str">
        <x:f>IFERROR(INDEX('VIP Signups'!M$5:M$204,MATCH(ROWS($A$5:A163),'VIP Signups'!$K$5:$K$204,0)),"")</x:f>
      </x:c>
      <x:c r="E163" s="18" t="str">
        <x:f>IFERROR(INDEX('VIP Signups'!C$5:C$204,MATCH(ROWS($A$5:A163),'VIP Signups'!$K$5:$K$204,0)),"")</x:f>
      </x:c>
      <x:c r="F163" s="18" t="str">
        <x:f>IFERROR(INDEX('VIP Signups'!E$5:E$204,MATCH(ROWS($A$5:A163),'VIP Signups'!$K$5:$K$204,0)),"")</x:f>
      </x:c>
      <x:c r="G163" s="18" t="str">
        <x:f>IFERROR(INDEX('VIP Signups'!H$5:H$204,MATCH(ROWS($A$5:A163),'VIP Signups'!$K$5:$K$204,0)),"")</x:f>
      </x:c>
    </x:row>
    <x:row r="164">
      <x:c r="A164" s="18" t="str">
        <x:f>IFERROR(INDEX('VIP Signups'!A$5:A$204,MATCH(ROWS($A$5:A164),'VIP Signups'!$K$5:$K$204,0)),"")</x:f>
      </x:c>
      <x:c r="B164" s="18" t="str">
        <x:f>IFERROR(INDEX('VIP Signups'!D$5:D$204,MATCH(ROWS($A$5:A164),'VIP Signups'!$K$5:$K$204,0)),"")</x:f>
      </x:c>
      <x:c r="C164" s="18" t="str">
        <x:f>IFERROR(INDEX('VIP Signups'!F$5:F$204,MATCH(ROWS($A$5:A164),'VIP Signups'!$K$5:$K$204,0)),"")</x:f>
      </x:c>
      <x:c r="D164" s="18" t="str">
        <x:f>IFERROR(INDEX('VIP Signups'!M$5:M$204,MATCH(ROWS($A$5:A164),'VIP Signups'!$K$5:$K$204,0)),"")</x:f>
      </x:c>
      <x:c r="E164" s="18" t="str">
        <x:f>IFERROR(INDEX('VIP Signups'!C$5:C$204,MATCH(ROWS($A$5:A164),'VIP Signups'!$K$5:$K$204,0)),"")</x:f>
      </x:c>
      <x:c r="F164" s="18" t="str">
        <x:f>IFERROR(INDEX('VIP Signups'!E$5:E$204,MATCH(ROWS($A$5:A164),'VIP Signups'!$K$5:$K$204,0)),"")</x:f>
      </x:c>
      <x:c r="G164" s="18" t="str">
        <x:f>IFERROR(INDEX('VIP Signups'!H$5:H$204,MATCH(ROWS($A$5:A164),'VIP Signups'!$K$5:$K$204,0)),"")</x:f>
      </x:c>
    </x:row>
    <x:row r="165">
      <x:c r="A165" s="18" t="str">
        <x:f>IFERROR(INDEX('VIP Signups'!A$5:A$204,MATCH(ROWS($A$5:A165),'VIP Signups'!$K$5:$K$204,0)),"")</x:f>
      </x:c>
      <x:c r="B165" s="18" t="str">
        <x:f>IFERROR(INDEX('VIP Signups'!D$5:D$204,MATCH(ROWS($A$5:A165),'VIP Signups'!$K$5:$K$204,0)),"")</x:f>
      </x:c>
      <x:c r="C165" s="18" t="str">
        <x:f>IFERROR(INDEX('VIP Signups'!F$5:F$204,MATCH(ROWS($A$5:A165),'VIP Signups'!$K$5:$K$204,0)),"")</x:f>
      </x:c>
      <x:c r="D165" s="18" t="str">
        <x:f>IFERROR(INDEX('VIP Signups'!M$5:M$204,MATCH(ROWS($A$5:A165),'VIP Signups'!$K$5:$K$204,0)),"")</x:f>
      </x:c>
      <x:c r="E165" s="18" t="str">
        <x:f>IFERROR(INDEX('VIP Signups'!C$5:C$204,MATCH(ROWS($A$5:A165),'VIP Signups'!$K$5:$K$204,0)),"")</x:f>
      </x:c>
      <x:c r="F165" s="18" t="str">
        <x:f>IFERROR(INDEX('VIP Signups'!E$5:E$204,MATCH(ROWS($A$5:A165),'VIP Signups'!$K$5:$K$204,0)),"")</x:f>
      </x:c>
      <x:c r="G165" s="18" t="str">
        <x:f>IFERROR(INDEX('VIP Signups'!H$5:H$204,MATCH(ROWS($A$5:A165),'VIP Signups'!$K$5:$K$204,0)),"")</x:f>
      </x:c>
    </x:row>
    <x:row r="166">
      <x:c r="A166" s="18" t="str">
        <x:f>IFERROR(INDEX('VIP Signups'!A$5:A$204,MATCH(ROWS($A$5:A166),'VIP Signups'!$K$5:$K$204,0)),"")</x:f>
      </x:c>
      <x:c r="B166" s="18" t="str">
        <x:f>IFERROR(INDEX('VIP Signups'!D$5:D$204,MATCH(ROWS($A$5:A166),'VIP Signups'!$K$5:$K$204,0)),"")</x:f>
      </x:c>
      <x:c r="C166" s="18" t="str">
        <x:f>IFERROR(INDEX('VIP Signups'!F$5:F$204,MATCH(ROWS($A$5:A166),'VIP Signups'!$K$5:$K$204,0)),"")</x:f>
      </x:c>
      <x:c r="D166" s="18" t="str">
        <x:f>IFERROR(INDEX('VIP Signups'!M$5:M$204,MATCH(ROWS($A$5:A166),'VIP Signups'!$K$5:$K$204,0)),"")</x:f>
      </x:c>
      <x:c r="E166" s="18" t="str">
        <x:f>IFERROR(INDEX('VIP Signups'!C$5:C$204,MATCH(ROWS($A$5:A166),'VIP Signups'!$K$5:$K$204,0)),"")</x:f>
      </x:c>
      <x:c r="F166" s="18" t="str">
        <x:f>IFERROR(INDEX('VIP Signups'!E$5:E$204,MATCH(ROWS($A$5:A166),'VIP Signups'!$K$5:$K$204,0)),"")</x:f>
      </x:c>
      <x:c r="G166" s="18" t="str">
        <x:f>IFERROR(INDEX('VIP Signups'!H$5:H$204,MATCH(ROWS($A$5:A166),'VIP Signups'!$K$5:$K$204,0)),"")</x:f>
      </x:c>
    </x:row>
    <x:row r="167">
      <x:c r="A167" s="18" t="str">
        <x:f>IFERROR(INDEX('VIP Signups'!A$5:A$204,MATCH(ROWS($A$5:A167),'VIP Signups'!$K$5:$K$204,0)),"")</x:f>
      </x:c>
      <x:c r="B167" s="18" t="str">
        <x:f>IFERROR(INDEX('VIP Signups'!D$5:D$204,MATCH(ROWS($A$5:A167),'VIP Signups'!$K$5:$K$204,0)),"")</x:f>
      </x:c>
      <x:c r="C167" s="18" t="str">
        <x:f>IFERROR(INDEX('VIP Signups'!F$5:F$204,MATCH(ROWS($A$5:A167),'VIP Signups'!$K$5:$K$204,0)),"")</x:f>
      </x:c>
      <x:c r="D167" s="18" t="str">
        <x:f>IFERROR(INDEX('VIP Signups'!M$5:M$204,MATCH(ROWS($A$5:A167),'VIP Signups'!$K$5:$K$204,0)),"")</x:f>
      </x:c>
      <x:c r="E167" s="18" t="str">
        <x:f>IFERROR(INDEX('VIP Signups'!C$5:C$204,MATCH(ROWS($A$5:A167),'VIP Signups'!$K$5:$K$204,0)),"")</x:f>
      </x:c>
      <x:c r="F167" s="18" t="str">
        <x:f>IFERROR(INDEX('VIP Signups'!E$5:E$204,MATCH(ROWS($A$5:A167),'VIP Signups'!$K$5:$K$204,0)),"")</x:f>
      </x:c>
      <x:c r="G167" s="18" t="str">
        <x:f>IFERROR(INDEX('VIP Signups'!H$5:H$204,MATCH(ROWS($A$5:A167),'VIP Signups'!$K$5:$K$204,0)),"")</x:f>
      </x:c>
    </x:row>
    <x:row r="168">
      <x:c r="A168" s="18" t="str">
        <x:f>IFERROR(INDEX('VIP Signups'!A$5:A$204,MATCH(ROWS($A$5:A168),'VIP Signups'!$K$5:$K$204,0)),"")</x:f>
      </x:c>
      <x:c r="B168" s="18" t="str">
        <x:f>IFERROR(INDEX('VIP Signups'!D$5:D$204,MATCH(ROWS($A$5:A168),'VIP Signups'!$K$5:$K$204,0)),"")</x:f>
      </x:c>
      <x:c r="C168" s="18" t="str">
        <x:f>IFERROR(INDEX('VIP Signups'!F$5:F$204,MATCH(ROWS($A$5:A168),'VIP Signups'!$K$5:$K$204,0)),"")</x:f>
      </x:c>
      <x:c r="D168" s="18" t="str">
        <x:f>IFERROR(INDEX('VIP Signups'!M$5:M$204,MATCH(ROWS($A$5:A168),'VIP Signups'!$K$5:$K$204,0)),"")</x:f>
      </x:c>
      <x:c r="E168" s="18" t="str">
        <x:f>IFERROR(INDEX('VIP Signups'!C$5:C$204,MATCH(ROWS($A$5:A168),'VIP Signups'!$K$5:$K$204,0)),"")</x:f>
      </x:c>
      <x:c r="F168" s="18" t="str">
        <x:f>IFERROR(INDEX('VIP Signups'!E$5:E$204,MATCH(ROWS($A$5:A168),'VIP Signups'!$K$5:$K$204,0)),"")</x:f>
      </x:c>
      <x:c r="G168" s="18" t="str">
        <x:f>IFERROR(INDEX('VIP Signups'!H$5:H$204,MATCH(ROWS($A$5:A168),'VIP Signups'!$K$5:$K$204,0)),"")</x:f>
      </x:c>
    </x:row>
    <x:row r="169">
      <x:c r="A169" s="18" t="str">
        <x:f>IFERROR(INDEX('VIP Signups'!A$5:A$204,MATCH(ROWS($A$5:A169),'VIP Signups'!$K$5:$K$204,0)),"")</x:f>
      </x:c>
      <x:c r="B169" s="18" t="str">
        <x:f>IFERROR(INDEX('VIP Signups'!D$5:D$204,MATCH(ROWS($A$5:A169),'VIP Signups'!$K$5:$K$204,0)),"")</x:f>
      </x:c>
      <x:c r="C169" s="18" t="str">
        <x:f>IFERROR(INDEX('VIP Signups'!F$5:F$204,MATCH(ROWS($A$5:A169),'VIP Signups'!$K$5:$K$204,0)),"")</x:f>
      </x:c>
      <x:c r="D169" s="18" t="str">
        <x:f>IFERROR(INDEX('VIP Signups'!M$5:M$204,MATCH(ROWS($A$5:A169),'VIP Signups'!$K$5:$K$204,0)),"")</x:f>
      </x:c>
      <x:c r="E169" s="18" t="str">
        <x:f>IFERROR(INDEX('VIP Signups'!C$5:C$204,MATCH(ROWS($A$5:A169),'VIP Signups'!$K$5:$K$204,0)),"")</x:f>
      </x:c>
      <x:c r="F169" s="18" t="str">
        <x:f>IFERROR(INDEX('VIP Signups'!E$5:E$204,MATCH(ROWS($A$5:A169),'VIP Signups'!$K$5:$K$204,0)),"")</x:f>
      </x:c>
      <x:c r="G169" s="18" t="str">
        <x:f>IFERROR(INDEX('VIP Signups'!H$5:H$204,MATCH(ROWS($A$5:A169),'VIP Signups'!$K$5:$K$204,0)),"")</x:f>
      </x:c>
    </x:row>
    <x:row r="170">
      <x:c r="A170" s="18" t="str">
        <x:f>IFERROR(INDEX('VIP Signups'!A$5:A$204,MATCH(ROWS($A$5:A170),'VIP Signups'!$K$5:$K$204,0)),"")</x:f>
      </x:c>
      <x:c r="B170" s="18" t="str">
        <x:f>IFERROR(INDEX('VIP Signups'!D$5:D$204,MATCH(ROWS($A$5:A170),'VIP Signups'!$K$5:$K$204,0)),"")</x:f>
      </x:c>
      <x:c r="C170" s="18" t="str">
        <x:f>IFERROR(INDEX('VIP Signups'!F$5:F$204,MATCH(ROWS($A$5:A170),'VIP Signups'!$K$5:$K$204,0)),"")</x:f>
      </x:c>
      <x:c r="D170" s="18" t="str">
        <x:f>IFERROR(INDEX('VIP Signups'!M$5:M$204,MATCH(ROWS($A$5:A170),'VIP Signups'!$K$5:$K$204,0)),"")</x:f>
      </x:c>
      <x:c r="E170" s="18" t="str">
        <x:f>IFERROR(INDEX('VIP Signups'!C$5:C$204,MATCH(ROWS($A$5:A170),'VIP Signups'!$K$5:$K$204,0)),"")</x:f>
      </x:c>
      <x:c r="F170" s="18" t="str">
        <x:f>IFERROR(INDEX('VIP Signups'!E$5:E$204,MATCH(ROWS($A$5:A170),'VIP Signups'!$K$5:$K$204,0)),"")</x:f>
      </x:c>
      <x:c r="G170" s="18" t="str">
        <x:f>IFERROR(INDEX('VIP Signups'!H$5:H$204,MATCH(ROWS($A$5:A170),'VIP Signups'!$K$5:$K$204,0)),"")</x:f>
      </x:c>
    </x:row>
    <x:row r="171">
      <x:c r="A171" s="18" t="str">
        <x:f>IFERROR(INDEX('VIP Signups'!A$5:A$204,MATCH(ROWS($A$5:A171),'VIP Signups'!$K$5:$K$204,0)),"")</x:f>
      </x:c>
      <x:c r="B171" s="18" t="str">
        <x:f>IFERROR(INDEX('VIP Signups'!D$5:D$204,MATCH(ROWS($A$5:A171),'VIP Signups'!$K$5:$K$204,0)),"")</x:f>
      </x:c>
      <x:c r="C171" s="18" t="str">
        <x:f>IFERROR(INDEX('VIP Signups'!F$5:F$204,MATCH(ROWS($A$5:A171),'VIP Signups'!$K$5:$K$204,0)),"")</x:f>
      </x:c>
      <x:c r="D171" s="18" t="str">
        <x:f>IFERROR(INDEX('VIP Signups'!M$5:M$204,MATCH(ROWS($A$5:A171),'VIP Signups'!$K$5:$K$204,0)),"")</x:f>
      </x:c>
      <x:c r="E171" s="18" t="str">
        <x:f>IFERROR(INDEX('VIP Signups'!C$5:C$204,MATCH(ROWS($A$5:A171),'VIP Signups'!$K$5:$K$204,0)),"")</x:f>
      </x:c>
      <x:c r="F171" s="18" t="str">
        <x:f>IFERROR(INDEX('VIP Signups'!E$5:E$204,MATCH(ROWS($A$5:A171),'VIP Signups'!$K$5:$K$204,0)),"")</x:f>
      </x:c>
      <x:c r="G171" s="18" t="str">
        <x:f>IFERROR(INDEX('VIP Signups'!H$5:H$204,MATCH(ROWS($A$5:A171),'VIP Signups'!$K$5:$K$204,0)),"")</x:f>
      </x:c>
    </x:row>
    <x:row r="172">
      <x:c r="A172" s="18" t="str">
        <x:f>IFERROR(INDEX('VIP Signups'!A$5:A$204,MATCH(ROWS($A$5:A172),'VIP Signups'!$K$5:$K$204,0)),"")</x:f>
      </x:c>
      <x:c r="B172" s="18" t="str">
        <x:f>IFERROR(INDEX('VIP Signups'!D$5:D$204,MATCH(ROWS($A$5:A172),'VIP Signups'!$K$5:$K$204,0)),"")</x:f>
      </x:c>
      <x:c r="C172" s="18" t="str">
        <x:f>IFERROR(INDEX('VIP Signups'!F$5:F$204,MATCH(ROWS($A$5:A172),'VIP Signups'!$K$5:$K$204,0)),"")</x:f>
      </x:c>
      <x:c r="D172" s="18" t="str">
        <x:f>IFERROR(INDEX('VIP Signups'!M$5:M$204,MATCH(ROWS($A$5:A172),'VIP Signups'!$K$5:$K$204,0)),"")</x:f>
      </x:c>
      <x:c r="E172" s="18" t="str">
        <x:f>IFERROR(INDEX('VIP Signups'!C$5:C$204,MATCH(ROWS($A$5:A172),'VIP Signups'!$K$5:$K$204,0)),"")</x:f>
      </x:c>
      <x:c r="F172" s="18" t="str">
        <x:f>IFERROR(INDEX('VIP Signups'!E$5:E$204,MATCH(ROWS($A$5:A172),'VIP Signups'!$K$5:$K$204,0)),"")</x:f>
      </x:c>
      <x:c r="G172" s="18" t="str">
        <x:f>IFERROR(INDEX('VIP Signups'!H$5:H$204,MATCH(ROWS($A$5:A172),'VIP Signups'!$K$5:$K$204,0)),"")</x:f>
      </x:c>
    </x:row>
    <x:row r="173">
      <x:c r="A173" s="18" t="str">
        <x:f>IFERROR(INDEX('VIP Signups'!A$5:A$204,MATCH(ROWS($A$5:A173),'VIP Signups'!$K$5:$K$204,0)),"")</x:f>
      </x:c>
      <x:c r="B173" s="18" t="str">
        <x:f>IFERROR(INDEX('VIP Signups'!D$5:D$204,MATCH(ROWS($A$5:A173),'VIP Signups'!$K$5:$K$204,0)),"")</x:f>
      </x:c>
      <x:c r="C173" s="18" t="str">
        <x:f>IFERROR(INDEX('VIP Signups'!F$5:F$204,MATCH(ROWS($A$5:A173),'VIP Signups'!$K$5:$K$204,0)),"")</x:f>
      </x:c>
      <x:c r="D173" s="18" t="str">
        <x:f>IFERROR(INDEX('VIP Signups'!M$5:M$204,MATCH(ROWS($A$5:A173),'VIP Signups'!$K$5:$K$204,0)),"")</x:f>
      </x:c>
      <x:c r="E173" s="18" t="str">
        <x:f>IFERROR(INDEX('VIP Signups'!C$5:C$204,MATCH(ROWS($A$5:A173),'VIP Signups'!$K$5:$K$204,0)),"")</x:f>
      </x:c>
      <x:c r="F173" s="18" t="str">
        <x:f>IFERROR(INDEX('VIP Signups'!E$5:E$204,MATCH(ROWS($A$5:A173),'VIP Signups'!$K$5:$K$204,0)),"")</x:f>
      </x:c>
      <x:c r="G173" s="18" t="str">
        <x:f>IFERROR(INDEX('VIP Signups'!H$5:H$204,MATCH(ROWS($A$5:A173),'VIP Signups'!$K$5:$K$204,0)),"")</x:f>
      </x:c>
    </x:row>
    <x:row r="174">
      <x:c r="A174" s="18" t="str">
        <x:f>IFERROR(INDEX('VIP Signups'!A$5:A$204,MATCH(ROWS($A$5:A174),'VIP Signups'!$K$5:$K$204,0)),"")</x:f>
      </x:c>
      <x:c r="B174" s="18" t="str">
        <x:f>IFERROR(INDEX('VIP Signups'!D$5:D$204,MATCH(ROWS($A$5:A174),'VIP Signups'!$K$5:$K$204,0)),"")</x:f>
      </x:c>
      <x:c r="C174" s="18" t="str">
        <x:f>IFERROR(INDEX('VIP Signups'!F$5:F$204,MATCH(ROWS($A$5:A174),'VIP Signups'!$K$5:$K$204,0)),"")</x:f>
      </x:c>
      <x:c r="D174" s="18" t="str">
        <x:f>IFERROR(INDEX('VIP Signups'!M$5:M$204,MATCH(ROWS($A$5:A174),'VIP Signups'!$K$5:$K$204,0)),"")</x:f>
      </x:c>
      <x:c r="E174" s="18" t="str">
        <x:f>IFERROR(INDEX('VIP Signups'!C$5:C$204,MATCH(ROWS($A$5:A174),'VIP Signups'!$K$5:$K$204,0)),"")</x:f>
      </x:c>
      <x:c r="F174" s="18" t="str">
        <x:f>IFERROR(INDEX('VIP Signups'!E$5:E$204,MATCH(ROWS($A$5:A174),'VIP Signups'!$K$5:$K$204,0)),"")</x:f>
      </x:c>
      <x:c r="G174" s="18" t="str">
        <x:f>IFERROR(INDEX('VIP Signups'!H$5:H$204,MATCH(ROWS($A$5:A174),'VIP Signups'!$K$5:$K$204,0)),"")</x:f>
      </x:c>
    </x:row>
    <x:row r="175">
      <x:c r="A175" s="18" t="str">
        <x:f>IFERROR(INDEX('VIP Signups'!A$5:A$204,MATCH(ROWS($A$5:A175),'VIP Signups'!$K$5:$K$204,0)),"")</x:f>
      </x:c>
      <x:c r="B175" s="18" t="str">
        <x:f>IFERROR(INDEX('VIP Signups'!D$5:D$204,MATCH(ROWS($A$5:A175),'VIP Signups'!$K$5:$K$204,0)),"")</x:f>
      </x:c>
      <x:c r="C175" s="18" t="str">
        <x:f>IFERROR(INDEX('VIP Signups'!F$5:F$204,MATCH(ROWS($A$5:A175),'VIP Signups'!$K$5:$K$204,0)),"")</x:f>
      </x:c>
      <x:c r="D175" s="18" t="str">
        <x:f>IFERROR(INDEX('VIP Signups'!M$5:M$204,MATCH(ROWS($A$5:A175),'VIP Signups'!$K$5:$K$204,0)),"")</x:f>
      </x:c>
      <x:c r="E175" s="18" t="str">
        <x:f>IFERROR(INDEX('VIP Signups'!C$5:C$204,MATCH(ROWS($A$5:A175),'VIP Signups'!$K$5:$K$204,0)),"")</x:f>
      </x:c>
      <x:c r="F175" s="18" t="str">
        <x:f>IFERROR(INDEX('VIP Signups'!E$5:E$204,MATCH(ROWS($A$5:A175),'VIP Signups'!$K$5:$K$204,0)),"")</x:f>
      </x:c>
      <x:c r="G175" s="18" t="str">
        <x:f>IFERROR(INDEX('VIP Signups'!H$5:H$204,MATCH(ROWS($A$5:A175),'VIP Signups'!$K$5:$K$204,0)),"")</x:f>
      </x:c>
    </x:row>
    <x:row r="176">
      <x:c r="A176" s="18" t="str">
        <x:f>IFERROR(INDEX('VIP Signups'!A$5:A$204,MATCH(ROWS($A$5:A176),'VIP Signups'!$K$5:$K$204,0)),"")</x:f>
      </x:c>
      <x:c r="B176" s="18" t="str">
        <x:f>IFERROR(INDEX('VIP Signups'!D$5:D$204,MATCH(ROWS($A$5:A176),'VIP Signups'!$K$5:$K$204,0)),"")</x:f>
      </x:c>
      <x:c r="C176" s="18" t="str">
        <x:f>IFERROR(INDEX('VIP Signups'!F$5:F$204,MATCH(ROWS($A$5:A176),'VIP Signups'!$K$5:$K$204,0)),"")</x:f>
      </x:c>
      <x:c r="D176" s="18" t="str">
        <x:f>IFERROR(INDEX('VIP Signups'!M$5:M$204,MATCH(ROWS($A$5:A176),'VIP Signups'!$K$5:$K$204,0)),"")</x:f>
      </x:c>
      <x:c r="E176" s="18" t="str">
        <x:f>IFERROR(INDEX('VIP Signups'!C$5:C$204,MATCH(ROWS($A$5:A176),'VIP Signups'!$K$5:$K$204,0)),"")</x:f>
      </x:c>
      <x:c r="F176" s="18" t="str">
        <x:f>IFERROR(INDEX('VIP Signups'!E$5:E$204,MATCH(ROWS($A$5:A176),'VIP Signups'!$K$5:$K$204,0)),"")</x:f>
      </x:c>
      <x:c r="G176" s="18" t="str">
        <x:f>IFERROR(INDEX('VIP Signups'!H$5:H$204,MATCH(ROWS($A$5:A176),'VIP Signups'!$K$5:$K$204,0)),"")</x:f>
      </x:c>
    </x:row>
    <x:row r="177">
      <x:c r="A177" s="18" t="str">
        <x:f>IFERROR(INDEX('VIP Signups'!A$5:A$204,MATCH(ROWS($A$5:A177),'VIP Signups'!$K$5:$K$204,0)),"")</x:f>
      </x:c>
      <x:c r="B177" s="18" t="str">
        <x:f>IFERROR(INDEX('VIP Signups'!D$5:D$204,MATCH(ROWS($A$5:A177),'VIP Signups'!$K$5:$K$204,0)),"")</x:f>
      </x:c>
      <x:c r="C177" s="18" t="str">
        <x:f>IFERROR(INDEX('VIP Signups'!F$5:F$204,MATCH(ROWS($A$5:A177),'VIP Signups'!$K$5:$K$204,0)),"")</x:f>
      </x:c>
      <x:c r="D177" s="18" t="str">
        <x:f>IFERROR(INDEX('VIP Signups'!M$5:M$204,MATCH(ROWS($A$5:A177),'VIP Signups'!$K$5:$K$204,0)),"")</x:f>
      </x:c>
      <x:c r="E177" s="18" t="str">
        <x:f>IFERROR(INDEX('VIP Signups'!C$5:C$204,MATCH(ROWS($A$5:A177),'VIP Signups'!$K$5:$K$204,0)),"")</x:f>
      </x:c>
      <x:c r="F177" s="18" t="str">
        <x:f>IFERROR(INDEX('VIP Signups'!E$5:E$204,MATCH(ROWS($A$5:A177),'VIP Signups'!$K$5:$K$204,0)),"")</x:f>
      </x:c>
      <x:c r="G177" s="18" t="str">
        <x:f>IFERROR(INDEX('VIP Signups'!H$5:H$204,MATCH(ROWS($A$5:A177),'VIP Signups'!$K$5:$K$204,0)),"")</x:f>
      </x:c>
    </x:row>
    <x:row r="178">
      <x:c r="A178" s="18" t="str">
        <x:f>IFERROR(INDEX('VIP Signups'!A$5:A$204,MATCH(ROWS($A$5:A178),'VIP Signups'!$K$5:$K$204,0)),"")</x:f>
      </x:c>
      <x:c r="B178" s="18" t="str">
        <x:f>IFERROR(INDEX('VIP Signups'!D$5:D$204,MATCH(ROWS($A$5:A178),'VIP Signups'!$K$5:$K$204,0)),"")</x:f>
      </x:c>
      <x:c r="C178" s="18" t="str">
        <x:f>IFERROR(INDEX('VIP Signups'!F$5:F$204,MATCH(ROWS($A$5:A178),'VIP Signups'!$K$5:$K$204,0)),"")</x:f>
      </x:c>
      <x:c r="D178" s="18" t="str">
        <x:f>IFERROR(INDEX('VIP Signups'!M$5:M$204,MATCH(ROWS($A$5:A178),'VIP Signups'!$K$5:$K$204,0)),"")</x:f>
      </x:c>
      <x:c r="E178" s="18" t="str">
        <x:f>IFERROR(INDEX('VIP Signups'!C$5:C$204,MATCH(ROWS($A$5:A178),'VIP Signups'!$K$5:$K$204,0)),"")</x:f>
      </x:c>
      <x:c r="F178" s="18" t="str">
        <x:f>IFERROR(INDEX('VIP Signups'!E$5:E$204,MATCH(ROWS($A$5:A178),'VIP Signups'!$K$5:$K$204,0)),"")</x:f>
      </x:c>
      <x:c r="G178" s="18" t="str">
        <x:f>IFERROR(INDEX('VIP Signups'!H$5:H$204,MATCH(ROWS($A$5:A178),'VIP Signups'!$K$5:$K$204,0)),"")</x:f>
      </x:c>
    </x:row>
    <x:row r="179">
      <x:c r="A179" s="18" t="str">
        <x:f>IFERROR(INDEX('VIP Signups'!A$5:A$204,MATCH(ROWS($A$5:A179),'VIP Signups'!$K$5:$K$204,0)),"")</x:f>
      </x:c>
      <x:c r="B179" s="18" t="str">
        <x:f>IFERROR(INDEX('VIP Signups'!D$5:D$204,MATCH(ROWS($A$5:A179),'VIP Signups'!$K$5:$K$204,0)),"")</x:f>
      </x:c>
      <x:c r="C179" s="18" t="str">
        <x:f>IFERROR(INDEX('VIP Signups'!F$5:F$204,MATCH(ROWS($A$5:A179),'VIP Signups'!$K$5:$K$204,0)),"")</x:f>
      </x:c>
      <x:c r="D179" s="18" t="str">
        <x:f>IFERROR(INDEX('VIP Signups'!M$5:M$204,MATCH(ROWS($A$5:A179),'VIP Signups'!$K$5:$K$204,0)),"")</x:f>
      </x:c>
      <x:c r="E179" s="18" t="str">
        <x:f>IFERROR(INDEX('VIP Signups'!C$5:C$204,MATCH(ROWS($A$5:A179),'VIP Signups'!$K$5:$K$204,0)),"")</x:f>
      </x:c>
      <x:c r="F179" s="18" t="str">
        <x:f>IFERROR(INDEX('VIP Signups'!E$5:E$204,MATCH(ROWS($A$5:A179),'VIP Signups'!$K$5:$K$204,0)),"")</x:f>
      </x:c>
      <x:c r="G179" s="18" t="str">
        <x:f>IFERROR(INDEX('VIP Signups'!H$5:H$204,MATCH(ROWS($A$5:A179),'VIP Signups'!$K$5:$K$204,0)),"")</x:f>
      </x:c>
    </x:row>
    <x:row r="180">
      <x:c r="A180" s="18" t="str">
        <x:f>IFERROR(INDEX('VIP Signups'!A$5:A$204,MATCH(ROWS($A$5:A180),'VIP Signups'!$K$5:$K$204,0)),"")</x:f>
      </x:c>
      <x:c r="B180" s="18" t="str">
        <x:f>IFERROR(INDEX('VIP Signups'!D$5:D$204,MATCH(ROWS($A$5:A180),'VIP Signups'!$K$5:$K$204,0)),"")</x:f>
      </x:c>
      <x:c r="C180" s="18" t="str">
        <x:f>IFERROR(INDEX('VIP Signups'!F$5:F$204,MATCH(ROWS($A$5:A180),'VIP Signups'!$K$5:$K$204,0)),"")</x:f>
      </x:c>
      <x:c r="D180" s="18" t="str">
        <x:f>IFERROR(INDEX('VIP Signups'!M$5:M$204,MATCH(ROWS($A$5:A180),'VIP Signups'!$K$5:$K$204,0)),"")</x:f>
      </x:c>
      <x:c r="E180" s="18" t="str">
        <x:f>IFERROR(INDEX('VIP Signups'!C$5:C$204,MATCH(ROWS($A$5:A180),'VIP Signups'!$K$5:$K$204,0)),"")</x:f>
      </x:c>
      <x:c r="F180" s="18" t="str">
        <x:f>IFERROR(INDEX('VIP Signups'!E$5:E$204,MATCH(ROWS($A$5:A180),'VIP Signups'!$K$5:$K$204,0)),"")</x:f>
      </x:c>
      <x:c r="G180" s="18" t="str">
        <x:f>IFERROR(INDEX('VIP Signups'!H$5:H$204,MATCH(ROWS($A$5:A180),'VIP Signups'!$K$5:$K$204,0)),"")</x:f>
      </x:c>
    </x:row>
    <x:row r="181">
      <x:c r="A181" s="18" t="str">
        <x:f>IFERROR(INDEX('VIP Signups'!A$5:A$204,MATCH(ROWS($A$5:A181),'VIP Signups'!$K$5:$K$204,0)),"")</x:f>
      </x:c>
      <x:c r="B181" s="18" t="str">
        <x:f>IFERROR(INDEX('VIP Signups'!D$5:D$204,MATCH(ROWS($A$5:A181),'VIP Signups'!$K$5:$K$204,0)),"")</x:f>
      </x:c>
      <x:c r="C181" s="18" t="str">
        <x:f>IFERROR(INDEX('VIP Signups'!F$5:F$204,MATCH(ROWS($A$5:A181),'VIP Signups'!$K$5:$K$204,0)),"")</x:f>
      </x:c>
      <x:c r="D181" s="18" t="str">
        <x:f>IFERROR(INDEX('VIP Signups'!M$5:M$204,MATCH(ROWS($A$5:A181),'VIP Signups'!$K$5:$K$204,0)),"")</x:f>
      </x:c>
      <x:c r="E181" s="18" t="str">
        <x:f>IFERROR(INDEX('VIP Signups'!C$5:C$204,MATCH(ROWS($A$5:A181),'VIP Signups'!$K$5:$K$204,0)),"")</x:f>
      </x:c>
      <x:c r="F181" s="18" t="str">
        <x:f>IFERROR(INDEX('VIP Signups'!E$5:E$204,MATCH(ROWS($A$5:A181),'VIP Signups'!$K$5:$K$204,0)),"")</x:f>
      </x:c>
      <x:c r="G181" s="18" t="str">
        <x:f>IFERROR(INDEX('VIP Signups'!H$5:H$204,MATCH(ROWS($A$5:A181),'VIP Signups'!$K$5:$K$204,0)),"")</x:f>
      </x:c>
    </x:row>
    <x:row r="182">
      <x:c r="A182" s="18" t="str">
        <x:f>IFERROR(INDEX('VIP Signups'!A$5:A$204,MATCH(ROWS($A$5:A182),'VIP Signups'!$K$5:$K$204,0)),"")</x:f>
      </x:c>
      <x:c r="B182" s="18" t="str">
        <x:f>IFERROR(INDEX('VIP Signups'!D$5:D$204,MATCH(ROWS($A$5:A182),'VIP Signups'!$K$5:$K$204,0)),"")</x:f>
      </x:c>
      <x:c r="C182" s="18" t="str">
        <x:f>IFERROR(INDEX('VIP Signups'!F$5:F$204,MATCH(ROWS($A$5:A182),'VIP Signups'!$K$5:$K$204,0)),"")</x:f>
      </x:c>
      <x:c r="D182" s="18" t="str">
        <x:f>IFERROR(INDEX('VIP Signups'!M$5:M$204,MATCH(ROWS($A$5:A182),'VIP Signups'!$K$5:$K$204,0)),"")</x:f>
      </x:c>
      <x:c r="E182" s="18" t="str">
        <x:f>IFERROR(INDEX('VIP Signups'!C$5:C$204,MATCH(ROWS($A$5:A182),'VIP Signups'!$K$5:$K$204,0)),"")</x:f>
      </x:c>
      <x:c r="F182" s="18" t="str">
        <x:f>IFERROR(INDEX('VIP Signups'!E$5:E$204,MATCH(ROWS($A$5:A182),'VIP Signups'!$K$5:$K$204,0)),"")</x:f>
      </x:c>
      <x:c r="G182" s="18" t="str">
        <x:f>IFERROR(INDEX('VIP Signups'!H$5:H$204,MATCH(ROWS($A$5:A182),'VIP Signups'!$K$5:$K$204,0)),"")</x:f>
      </x:c>
    </x:row>
    <x:row r="183">
      <x:c r="A183" s="18" t="str">
        <x:f>IFERROR(INDEX('VIP Signups'!A$5:A$204,MATCH(ROWS($A$5:A183),'VIP Signups'!$K$5:$K$204,0)),"")</x:f>
      </x:c>
      <x:c r="B183" s="18" t="str">
        <x:f>IFERROR(INDEX('VIP Signups'!D$5:D$204,MATCH(ROWS($A$5:A183),'VIP Signups'!$K$5:$K$204,0)),"")</x:f>
      </x:c>
      <x:c r="C183" s="18" t="str">
        <x:f>IFERROR(INDEX('VIP Signups'!F$5:F$204,MATCH(ROWS($A$5:A183),'VIP Signups'!$K$5:$K$204,0)),"")</x:f>
      </x:c>
      <x:c r="D183" s="18" t="str">
        <x:f>IFERROR(INDEX('VIP Signups'!M$5:M$204,MATCH(ROWS($A$5:A183),'VIP Signups'!$K$5:$K$204,0)),"")</x:f>
      </x:c>
      <x:c r="E183" s="18" t="str">
        <x:f>IFERROR(INDEX('VIP Signups'!C$5:C$204,MATCH(ROWS($A$5:A183),'VIP Signups'!$K$5:$K$204,0)),"")</x:f>
      </x:c>
      <x:c r="F183" s="18" t="str">
        <x:f>IFERROR(INDEX('VIP Signups'!E$5:E$204,MATCH(ROWS($A$5:A183),'VIP Signups'!$K$5:$K$204,0)),"")</x:f>
      </x:c>
      <x:c r="G183" s="18" t="str">
        <x:f>IFERROR(INDEX('VIP Signups'!H$5:H$204,MATCH(ROWS($A$5:A183),'VIP Signups'!$K$5:$K$204,0)),"")</x:f>
      </x:c>
    </x:row>
    <x:row r="184">
      <x:c r="A184" s="18" t="str">
        <x:f>IFERROR(INDEX('VIP Signups'!A$5:A$204,MATCH(ROWS($A$5:A184),'VIP Signups'!$K$5:$K$204,0)),"")</x:f>
      </x:c>
      <x:c r="B184" s="18" t="str">
        <x:f>IFERROR(INDEX('VIP Signups'!D$5:D$204,MATCH(ROWS($A$5:A184),'VIP Signups'!$K$5:$K$204,0)),"")</x:f>
      </x:c>
      <x:c r="C184" s="18" t="str">
        <x:f>IFERROR(INDEX('VIP Signups'!F$5:F$204,MATCH(ROWS($A$5:A184),'VIP Signups'!$K$5:$K$204,0)),"")</x:f>
      </x:c>
      <x:c r="D184" s="18" t="str">
        <x:f>IFERROR(INDEX('VIP Signups'!M$5:M$204,MATCH(ROWS($A$5:A184),'VIP Signups'!$K$5:$K$204,0)),"")</x:f>
      </x:c>
      <x:c r="E184" s="18" t="str">
        <x:f>IFERROR(INDEX('VIP Signups'!C$5:C$204,MATCH(ROWS($A$5:A184),'VIP Signups'!$K$5:$K$204,0)),"")</x:f>
      </x:c>
      <x:c r="F184" s="18" t="str">
        <x:f>IFERROR(INDEX('VIP Signups'!E$5:E$204,MATCH(ROWS($A$5:A184),'VIP Signups'!$K$5:$K$204,0)),"")</x:f>
      </x:c>
      <x:c r="G184" s="18" t="str">
        <x:f>IFERROR(INDEX('VIP Signups'!H$5:H$204,MATCH(ROWS($A$5:A184),'VIP Signups'!$K$5:$K$204,0)),"")</x:f>
      </x:c>
    </x:row>
    <x:row r="185">
      <x:c r="A185" s="18" t="str">
        <x:f>IFERROR(INDEX('VIP Signups'!A$5:A$204,MATCH(ROWS($A$5:A185),'VIP Signups'!$K$5:$K$204,0)),"")</x:f>
      </x:c>
      <x:c r="B185" s="18" t="str">
        <x:f>IFERROR(INDEX('VIP Signups'!D$5:D$204,MATCH(ROWS($A$5:A185),'VIP Signups'!$K$5:$K$204,0)),"")</x:f>
      </x:c>
      <x:c r="C185" s="18" t="str">
        <x:f>IFERROR(INDEX('VIP Signups'!F$5:F$204,MATCH(ROWS($A$5:A185),'VIP Signups'!$K$5:$K$204,0)),"")</x:f>
      </x:c>
      <x:c r="D185" s="18" t="str">
        <x:f>IFERROR(INDEX('VIP Signups'!M$5:M$204,MATCH(ROWS($A$5:A185),'VIP Signups'!$K$5:$K$204,0)),"")</x:f>
      </x:c>
      <x:c r="E185" s="18" t="str">
        <x:f>IFERROR(INDEX('VIP Signups'!C$5:C$204,MATCH(ROWS($A$5:A185),'VIP Signups'!$K$5:$K$204,0)),"")</x:f>
      </x:c>
      <x:c r="F185" s="18" t="str">
        <x:f>IFERROR(INDEX('VIP Signups'!E$5:E$204,MATCH(ROWS($A$5:A185),'VIP Signups'!$K$5:$K$204,0)),"")</x:f>
      </x:c>
      <x:c r="G185" s="18" t="str">
        <x:f>IFERROR(INDEX('VIP Signups'!H$5:H$204,MATCH(ROWS($A$5:A185),'VIP Signups'!$K$5:$K$204,0)),"")</x:f>
      </x:c>
    </x:row>
    <x:row r="186">
      <x:c r="A186" s="18" t="str">
        <x:f>IFERROR(INDEX('VIP Signups'!A$5:A$204,MATCH(ROWS($A$5:A186),'VIP Signups'!$K$5:$K$204,0)),"")</x:f>
      </x:c>
      <x:c r="B186" s="18" t="str">
        <x:f>IFERROR(INDEX('VIP Signups'!D$5:D$204,MATCH(ROWS($A$5:A186),'VIP Signups'!$K$5:$K$204,0)),"")</x:f>
      </x:c>
      <x:c r="C186" s="18" t="str">
        <x:f>IFERROR(INDEX('VIP Signups'!F$5:F$204,MATCH(ROWS($A$5:A186),'VIP Signups'!$K$5:$K$204,0)),"")</x:f>
      </x:c>
      <x:c r="D186" s="18" t="str">
        <x:f>IFERROR(INDEX('VIP Signups'!M$5:M$204,MATCH(ROWS($A$5:A186),'VIP Signups'!$K$5:$K$204,0)),"")</x:f>
      </x:c>
      <x:c r="E186" s="18" t="str">
        <x:f>IFERROR(INDEX('VIP Signups'!C$5:C$204,MATCH(ROWS($A$5:A186),'VIP Signups'!$K$5:$K$204,0)),"")</x:f>
      </x:c>
      <x:c r="F186" s="18" t="str">
        <x:f>IFERROR(INDEX('VIP Signups'!E$5:E$204,MATCH(ROWS($A$5:A186),'VIP Signups'!$K$5:$K$204,0)),"")</x:f>
      </x:c>
      <x:c r="G186" s="18" t="str">
        <x:f>IFERROR(INDEX('VIP Signups'!H$5:H$204,MATCH(ROWS($A$5:A186),'VIP Signups'!$K$5:$K$204,0)),"")</x:f>
      </x:c>
    </x:row>
    <x:row r="187">
      <x:c r="A187" s="18" t="str">
        <x:f>IFERROR(INDEX('VIP Signups'!A$5:A$204,MATCH(ROWS($A$5:A187),'VIP Signups'!$K$5:$K$204,0)),"")</x:f>
      </x:c>
      <x:c r="B187" s="18" t="str">
        <x:f>IFERROR(INDEX('VIP Signups'!D$5:D$204,MATCH(ROWS($A$5:A187),'VIP Signups'!$K$5:$K$204,0)),"")</x:f>
      </x:c>
      <x:c r="C187" s="18" t="str">
        <x:f>IFERROR(INDEX('VIP Signups'!F$5:F$204,MATCH(ROWS($A$5:A187),'VIP Signups'!$K$5:$K$204,0)),"")</x:f>
      </x:c>
      <x:c r="D187" s="18" t="str">
        <x:f>IFERROR(INDEX('VIP Signups'!M$5:M$204,MATCH(ROWS($A$5:A187),'VIP Signups'!$K$5:$K$204,0)),"")</x:f>
      </x:c>
      <x:c r="E187" s="18" t="str">
        <x:f>IFERROR(INDEX('VIP Signups'!C$5:C$204,MATCH(ROWS($A$5:A187),'VIP Signups'!$K$5:$K$204,0)),"")</x:f>
      </x:c>
      <x:c r="F187" s="18" t="str">
        <x:f>IFERROR(INDEX('VIP Signups'!E$5:E$204,MATCH(ROWS($A$5:A187),'VIP Signups'!$K$5:$K$204,0)),"")</x:f>
      </x:c>
      <x:c r="G187" s="18" t="str">
        <x:f>IFERROR(INDEX('VIP Signups'!H$5:H$204,MATCH(ROWS($A$5:A187),'VIP Signups'!$K$5:$K$204,0)),"")</x:f>
      </x:c>
    </x:row>
    <x:row r="188">
      <x:c r="A188" s="18" t="str">
        <x:f>IFERROR(INDEX('VIP Signups'!A$5:A$204,MATCH(ROWS($A$5:A188),'VIP Signups'!$K$5:$K$204,0)),"")</x:f>
      </x:c>
      <x:c r="B188" s="18" t="str">
        <x:f>IFERROR(INDEX('VIP Signups'!D$5:D$204,MATCH(ROWS($A$5:A188),'VIP Signups'!$K$5:$K$204,0)),"")</x:f>
      </x:c>
      <x:c r="C188" s="18" t="str">
        <x:f>IFERROR(INDEX('VIP Signups'!F$5:F$204,MATCH(ROWS($A$5:A188),'VIP Signups'!$K$5:$K$204,0)),"")</x:f>
      </x:c>
      <x:c r="D188" s="18" t="str">
        <x:f>IFERROR(INDEX('VIP Signups'!M$5:M$204,MATCH(ROWS($A$5:A188),'VIP Signups'!$K$5:$K$204,0)),"")</x:f>
      </x:c>
      <x:c r="E188" s="18" t="str">
        <x:f>IFERROR(INDEX('VIP Signups'!C$5:C$204,MATCH(ROWS($A$5:A188),'VIP Signups'!$K$5:$K$204,0)),"")</x:f>
      </x:c>
      <x:c r="F188" s="18" t="str">
        <x:f>IFERROR(INDEX('VIP Signups'!E$5:E$204,MATCH(ROWS($A$5:A188),'VIP Signups'!$K$5:$K$204,0)),"")</x:f>
      </x:c>
      <x:c r="G188" s="18" t="str">
        <x:f>IFERROR(INDEX('VIP Signups'!H$5:H$204,MATCH(ROWS($A$5:A188),'VIP Signups'!$K$5:$K$204,0)),"")</x:f>
      </x:c>
    </x:row>
    <x:row r="189">
      <x:c r="A189" s="18" t="str">
        <x:f>IFERROR(INDEX('VIP Signups'!A$5:A$204,MATCH(ROWS($A$5:A189),'VIP Signups'!$K$5:$K$204,0)),"")</x:f>
      </x:c>
      <x:c r="B189" s="18" t="str">
        <x:f>IFERROR(INDEX('VIP Signups'!D$5:D$204,MATCH(ROWS($A$5:A189),'VIP Signups'!$K$5:$K$204,0)),"")</x:f>
      </x:c>
      <x:c r="C189" s="18" t="str">
        <x:f>IFERROR(INDEX('VIP Signups'!F$5:F$204,MATCH(ROWS($A$5:A189),'VIP Signups'!$K$5:$K$204,0)),"")</x:f>
      </x:c>
      <x:c r="D189" s="18" t="str">
        <x:f>IFERROR(INDEX('VIP Signups'!M$5:M$204,MATCH(ROWS($A$5:A189),'VIP Signups'!$K$5:$K$204,0)),"")</x:f>
      </x:c>
      <x:c r="E189" s="18" t="str">
        <x:f>IFERROR(INDEX('VIP Signups'!C$5:C$204,MATCH(ROWS($A$5:A189),'VIP Signups'!$K$5:$K$204,0)),"")</x:f>
      </x:c>
      <x:c r="F189" s="18" t="str">
        <x:f>IFERROR(INDEX('VIP Signups'!E$5:E$204,MATCH(ROWS($A$5:A189),'VIP Signups'!$K$5:$K$204,0)),"")</x:f>
      </x:c>
      <x:c r="G189" s="18" t="str">
        <x:f>IFERROR(INDEX('VIP Signups'!H$5:H$204,MATCH(ROWS($A$5:A189),'VIP Signups'!$K$5:$K$204,0)),"")</x:f>
      </x:c>
    </x:row>
    <x:row r="190">
      <x:c r="A190" s="18" t="str">
        <x:f>IFERROR(INDEX('VIP Signups'!A$5:A$204,MATCH(ROWS($A$5:A190),'VIP Signups'!$K$5:$K$204,0)),"")</x:f>
      </x:c>
      <x:c r="B190" s="18" t="str">
        <x:f>IFERROR(INDEX('VIP Signups'!D$5:D$204,MATCH(ROWS($A$5:A190),'VIP Signups'!$K$5:$K$204,0)),"")</x:f>
      </x:c>
      <x:c r="C190" s="18" t="str">
        <x:f>IFERROR(INDEX('VIP Signups'!F$5:F$204,MATCH(ROWS($A$5:A190),'VIP Signups'!$K$5:$K$204,0)),"")</x:f>
      </x:c>
      <x:c r="D190" s="18" t="str">
        <x:f>IFERROR(INDEX('VIP Signups'!M$5:M$204,MATCH(ROWS($A$5:A190),'VIP Signups'!$K$5:$K$204,0)),"")</x:f>
      </x:c>
      <x:c r="E190" s="18" t="str">
        <x:f>IFERROR(INDEX('VIP Signups'!C$5:C$204,MATCH(ROWS($A$5:A190),'VIP Signups'!$K$5:$K$204,0)),"")</x:f>
      </x:c>
      <x:c r="F190" s="18" t="str">
        <x:f>IFERROR(INDEX('VIP Signups'!E$5:E$204,MATCH(ROWS($A$5:A190),'VIP Signups'!$K$5:$K$204,0)),"")</x:f>
      </x:c>
      <x:c r="G190" s="18" t="str">
        <x:f>IFERROR(INDEX('VIP Signups'!H$5:H$204,MATCH(ROWS($A$5:A190),'VIP Signups'!$K$5:$K$204,0)),"")</x:f>
      </x:c>
    </x:row>
    <x:row r="191">
      <x:c r="A191" s="18" t="str">
        <x:f>IFERROR(INDEX('VIP Signups'!A$5:A$204,MATCH(ROWS($A$5:A191),'VIP Signups'!$K$5:$K$204,0)),"")</x:f>
      </x:c>
      <x:c r="B191" s="18" t="str">
        <x:f>IFERROR(INDEX('VIP Signups'!D$5:D$204,MATCH(ROWS($A$5:A191),'VIP Signups'!$K$5:$K$204,0)),"")</x:f>
      </x:c>
      <x:c r="C191" s="18" t="str">
        <x:f>IFERROR(INDEX('VIP Signups'!F$5:F$204,MATCH(ROWS($A$5:A191),'VIP Signups'!$K$5:$K$204,0)),"")</x:f>
      </x:c>
      <x:c r="D191" s="18" t="str">
        <x:f>IFERROR(INDEX('VIP Signups'!M$5:M$204,MATCH(ROWS($A$5:A191),'VIP Signups'!$K$5:$K$204,0)),"")</x:f>
      </x:c>
      <x:c r="E191" s="18" t="str">
        <x:f>IFERROR(INDEX('VIP Signups'!C$5:C$204,MATCH(ROWS($A$5:A191),'VIP Signups'!$K$5:$K$204,0)),"")</x:f>
      </x:c>
      <x:c r="F191" s="18" t="str">
        <x:f>IFERROR(INDEX('VIP Signups'!E$5:E$204,MATCH(ROWS($A$5:A191),'VIP Signups'!$K$5:$K$204,0)),"")</x:f>
      </x:c>
      <x:c r="G191" s="18" t="str">
        <x:f>IFERROR(INDEX('VIP Signups'!H$5:H$204,MATCH(ROWS($A$5:A191),'VIP Signups'!$K$5:$K$204,0)),"")</x:f>
      </x:c>
    </x:row>
    <x:row r="192">
      <x:c r="A192" s="18" t="str">
        <x:f>IFERROR(INDEX('VIP Signups'!A$5:A$204,MATCH(ROWS($A$5:A192),'VIP Signups'!$K$5:$K$204,0)),"")</x:f>
      </x:c>
      <x:c r="B192" s="18" t="str">
        <x:f>IFERROR(INDEX('VIP Signups'!D$5:D$204,MATCH(ROWS($A$5:A192),'VIP Signups'!$K$5:$K$204,0)),"")</x:f>
      </x:c>
      <x:c r="C192" s="18" t="str">
        <x:f>IFERROR(INDEX('VIP Signups'!F$5:F$204,MATCH(ROWS($A$5:A192),'VIP Signups'!$K$5:$K$204,0)),"")</x:f>
      </x:c>
      <x:c r="D192" s="18" t="str">
        <x:f>IFERROR(INDEX('VIP Signups'!M$5:M$204,MATCH(ROWS($A$5:A192),'VIP Signups'!$K$5:$K$204,0)),"")</x:f>
      </x:c>
      <x:c r="E192" s="18" t="str">
        <x:f>IFERROR(INDEX('VIP Signups'!C$5:C$204,MATCH(ROWS($A$5:A192),'VIP Signups'!$K$5:$K$204,0)),"")</x:f>
      </x:c>
      <x:c r="F192" s="18" t="str">
        <x:f>IFERROR(INDEX('VIP Signups'!E$5:E$204,MATCH(ROWS($A$5:A192),'VIP Signups'!$K$5:$K$204,0)),"")</x:f>
      </x:c>
      <x:c r="G192" s="18" t="str">
        <x:f>IFERROR(INDEX('VIP Signups'!H$5:H$204,MATCH(ROWS($A$5:A192),'VIP Signups'!$K$5:$K$204,0)),"")</x:f>
      </x:c>
    </x:row>
    <x:row r="193">
      <x:c r="A193" s="18" t="str">
        <x:f>IFERROR(INDEX('VIP Signups'!A$5:A$204,MATCH(ROWS($A$5:A193),'VIP Signups'!$K$5:$K$204,0)),"")</x:f>
      </x:c>
      <x:c r="B193" s="18" t="str">
        <x:f>IFERROR(INDEX('VIP Signups'!D$5:D$204,MATCH(ROWS($A$5:A193),'VIP Signups'!$K$5:$K$204,0)),"")</x:f>
      </x:c>
      <x:c r="C193" s="18" t="str">
        <x:f>IFERROR(INDEX('VIP Signups'!F$5:F$204,MATCH(ROWS($A$5:A193),'VIP Signups'!$K$5:$K$204,0)),"")</x:f>
      </x:c>
      <x:c r="D193" s="18" t="str">
        <x:f>IFERROR(INDEX('VIP Signups'!M$5:M$204,MATCH(ROWS($A$5:A193),'VIP Signups'!$K$5:$K$204,0)),"")</x:f>
      </x:c>
      <x:c r="E193" s="18" t="str">
        <x:f>IFERROR(INDEX('VIP Signups'!C$5:C$204,MATCH(ROWS($A$5:A193),'VIP Signups'!$K$5:$K$204,0)),"")</x:f>
      </x:c>
      <x:c r="F193" s="18" t="str">
        <x:f>IFERROR(INDEX('VIP Signups'!E$5:E$204,MATCH(ROWS($A$5:A193),'VIP Signups'!$K$5:$K$204,0)),"")</x:f>
      </x:c>
      <x:c r="G193" s="18" t="str">
        <x:f>IFERROR(INDEX('VIP Signups'!H$5:H$204,MATCH(ROWS($A$5:A193),'VIP Signups'!$K$5:$K$204,0)),"")</x:f>
      </x:c>
    </x:row>
    <x:row r="194">
      <x:c r="A194" s="18" t="str">
        <x:f>IFERROR(INDEX('VIP Signups'!A$5:A$204,MATCH(ROWS($A$5:A194),'VIP Signups'!$K$5:$K$204,0)),"")</x:f>
      </x:c>
      <x:c r="B194" s="18" t="str">
        <x:f>IFERROR(INDEX('VIP Signups'!D$5:D$204,MATCH(ROWS($A$5:A194),'VIP Signups'!$K$5:$K$204,0)),"")</x:f>
      </x:c>
      <x:c r="C194" s="18" t="str">
        <x:f>IFERROR(INDEX('VIP Signups'!F$5:F$204,MATCH(ROWS($A$5:A194),'VIP Signups'!$K$5:$K$204,0)),"")</x:f>
      </x:c>
      <x:c r="D194" s="18" t="str">
        <x:f>IFERROR(INDEX('VIP Signups'!M$5:M$204,MATCH(ROWS($A$5:A194),'VIP Signups'!$K$5:$K$204,0)),"")</x:f>
      </x:c>
      <x:c r="E194" s="18" t="str">
        <x:f>IFERROR(INDEX('VIP Signups'!C$5:C$204,MATCH(ROWS($A$5:A194),'VIP Signups'!$K$5:$K$204,0)),"")</x:f>
      </x:c>
      <x:c r="F194" s="18" t="str">
        <x:f>IFERROR(INDEX('VIP Signups'!E$5:E$204,MATCH(ROWS($A$5:A194),'VIP Signups'!$K$5:$K$204,0)),"")</x:f>
      </x:c>
      <x:c r="G194" s="18" t="str">
        <x:f>IFERROR(INDEX('VIP Signups'!H$5:H$204,MATCH(ROWS($A$5:A194),'VIP Signups'!$K$5:$K$204,0)),"")</x:f>
      </x:c>
    </x:row>
    <x:row r="195">
      <x:c r="A195" s="18" t="str">
        <x:f>IFERROR(INDEX('VIP Signups'!A$5:A$204,MATCH(ROWS($A$5:A195),'VIP Signups'!$K$5:$K$204,0)),"")</x:f>
      </x:c>
      <x:c r="B195" s="18" t="str">
        <x:f>IFERROR(INDEX('VIP Signups'!D$5:D$204,MATCH(ROWS($A$5:A195),'VIP Signups'!$K$5:$K$204,0)),"")</x:f>
      </x:c>
      <x:c r="C195" s="18" t="str">
        <x:f>IFERROR(INDEX('VIP Signups'!F$5:F$204,MATCH(ROWS($A$5:A195),'VIP Signups'!$K$5:$K$204,0)),"")</x:f>
      </x:c>
      <x:c r="D195" s="18" t="str">
        <x:f>IFERROR(INDEX('VIP Signups'!M$5:M$204,MATCH(ROWS($A$5:A195),'VIP Signups'!$K$5:$K$204,0)),"")</x:f>
      </x:c>
      <x:c r="E195" s="18" t="str">
        <x:f>IFERROR(INDEX('VIP Signups'!C$5:C$204,MATCH(ROWS($A$5:A195),'VIP Signups'!$K$5:$K$204,0)),"")</x:f>
      </x:c>
      <x:c r="F195" s="18" t="str">
        <x:f>IFERROR(INDEX('VIP Signups'!E$5:E$204,MATCH(ROWS($A$5:A195),'VIP Signups'!$K$5:$K$204,0)),"")</x:f>
      </x:c>
      <x:c r="G195" s="18" t="str">
        <x:f>IFERROR(INDEX('VIP Signups'!H$5:H$204,MATCH(ROWS($A$5:A195),'VIP Signups'!$K$5:$K$204,0)),"")</x:f>
      </x:c>
    </x:row>
    <x:row r="196">
      <x:c r="A196" s="18" t="str">
        <x:f>IFERROR(INDEX('VIP Signups'!A$5:A$204,MATCH(ROWS($A$5:A196),'VIP Signups'!$K$5:$K$204,0)),"")</x:f>
      </x:c>
      <x:c r="B196" s="18" t="str">
        <x:f>IFERROR(INDEX('VIP Signups'!D$5:D$204,MATCH(ROWS($A$5:A196),'VIP Signups'!$K$5:$K$204,0)),"")</x:f>
      </x:c>
      <x:c r="C196" s="18" t="str">
        <x:f>IFERROR(INDEX('VIP Signups'!F$5:F$204,MATCH(ROWS($A$5:A196),'VIP Signups'!$K$5:$K$204,0)),"")</x:f>
      </x:c>
      <x:c r="D196" s="18" t="str">
        <x:f>IFERROR(INDEX('VIP Signups'!M$5:M$204,MATCH(ROWS($A$5:A196),'VIP Signups'!$K$5:$K$204,0)),"")</x:f>
      </x:c>
      <x:c r="E196" s="18" t="str">
        <x:f>IFERROR(INDEX('VIP Signups'!C$5:C$204,MATCH(ROWS($A$5:A196),'VIP Signups'!$K$5:$K$204,0)),"")</x:f>
      </x:c>
      <x:c r="F196" s="18" t="str">
        <x:f>IFERROR(INDEX('VIP Signups'!E$5:E$204,MATCH(ROWS($A$5:A196),'VIP Signups'!$K$5:$K$204,0)),"")</x:f>
      </x:c>
      <x:c r="G196" s="18" t="str">
        <x:f>IFERROR(INDEX('VIP Signups'!H$5:H$204,MATCH(ROWS($A$5:A196),'VIP Signups'!$K$5:$K$204,0)),"")</x:f>
      </x:c>
    </x:row>
    <x:row r="197">
      <x:c r="A197" s="18" t="str">
        <x:f>IFERROR(INDEX('VIP Signups'!A$5:A$204,MATCH(ROWS($A$5:A197),'VIP Signups'!$K$5:$K$204,0)),"")</x:f>
      </x:c>
      <x:c r="B197" s="18" t="str">
        <x:f>IFERROR(INDEX('VIP Signups'!D$5:D$204,MATCH(ROWS($A$5:A197),'VIP Signups'!$K$5:$K$204,0)),"")</x:f>
      </x:c>
      <x:c r="C197" s="18" t="str">
        <x:f>IFERROR(INDEX('VIP Signups'!F$5:F$204,MATCH(ROWS($A$5:A197),'VIP Signups'!$K$5:$K$204,0)),"")</x:f>
      </x:c>
      <x:c r="D197" s="18" t="str">
        <x:f>IFERROR(INDEX('VIP Signups'!M$5:M$204,MATCH(ROWS($A$5:A197),'VIP Signups'!$K$5:$K$204,0)),"")</x:f>
      </x:c>
      <x:c r="E197" s="18" t="str">
        <x:f>IFERROR(INDEX('VIP Signups'!C$5:C$204,MATCH(ROWS($A$5:A197),'VIP Signups'!$K$5:$K$204,0)),"")</x:f>
      </x:c>
      <x:c r="F197" s="18" t="str">
        <x:f>IFERROR(INDEX('VIP Signups'!E$5:E$204,MATCH(ROWS($A$5:A197),'VIP Signups'!$K$5:$K$204,0)),"")</x:f>
      </x:c>
      <x:c r="G197" s="18" t="str">
        <x:f>IFERROR(INDEX('VIP Signups'!H$5:H$204,MATCH(ROWS($A$5:A197),'VIP Signups'!$K$5:$K$204,0)),"")</x:f>
      </x:c>
    </x:row>
    <x:row r="198">
      <x:c r="A198" s="18" t="str">
        <x:f>IFERROR(INDEX('VIP Signups'!A$5:A$204,MATCH(ROWS($A$5:A198),'VIP Signups'!$K$5:$K$204,0)),"")</x:f>
      </x:c>
      <x:c r="B198" s="18" t="str">
        <x:f>IFERROR(INDEX('VIP Signups'!D$5:D$204,MATCH(ROWS($A$5:A198),'VIP Signups'!$K$5:$K$204,0)),"")</x:f>
      </x:c>
      <x:c r="C198" s="18" t="str">
        <x:f>IFERROR(INDEX('VIP Signups'!F$5:F$204,MATCH(ROWS($A$5:A198),'VIP Signups'!$K$5:$K$204,0)),"")</x:f>
      </x:c>
      <x:c r="D198" s="18" t="str">
        <x:f>IFERROR(INDEX('VIP Signups'!M$5:M$204,MATCH(ROWS($A$5:A198),'VIP Signups'!$K$5:$K$204,0)),"")</x:f>
      </x:c>
      <x:c r="E198" s="18" t="str">
        <x:f>IFERROR(INDEX('VIP Signups'!C$5:C$204,MATCH(ROWS($A$5:A198),'VIP Signups'!$K$5:$K$204,0)),"")</x:f>
      </x:c>
      <x:c r="F198" s="18" t="str">
        <x:f>IFERROR(INDEX('VIP Signups'!E$5:E$204,MATCH(ROWS($A$5:A198),'VIP Signups'!$K$5:$K$204,0)),"")</x:f>
      </x:c>
      <x:c r="G198" s="18" t="str">
        <x:f>IFERROR(INDEX('VIP Signups'!H$5:H$204,MATCH(ROWS($A$5:A198),'VIP Signups'!$K$5:$K$204,0)),"")</x:f>
      </x:c>
    </x:row>
    <x:row r="199">
      <x:c r="A199" s="18" t="str">
        <x:f>IFERROR(INDEX('VIP Signups'!A$5:A$204,MATCH(ROWS($A$5:A199),'VIP Signups'!$K$5:$K$204,0)),"")</x:f>
      </x:c>
      <x:c r="B199" s="18" t="str">
        <x:f>IFERROR(INDEX('VIP Signups'!D$5:D$204,MATCH(ROWS($A$5:A199),'VIP Signups'!$K$5:$K$204,0)),"")</x:f>
      </x:c>
      <x:c r="C199" s="18" t="str">
        <x:f>IFERROR(INDEX('VIP Signups'!F$5:F$204,MATCH(ROWS($A$5:A199),'VIP Signups'!$K$5:$K$204,0)),"")</x:f>
      </x:c>
      <x:c r="D199" s="18" t="str">
        <x:f>IFERROR(INDEX('VIP Signups'!M$5:M$204,MATCH(ROWS($A$5:A199),'VIP Signups'!$K$5:$K$204,0)),"")</x:f>
      </x:c>
      <x:c r="E199" s="18" t="str">
        <x:f>IFERROR(INDEX('VIP Signups'!C$5:C$204,MATCH(ROWS($A$5:A199),'VIP Signups'!$K$5:$K$204,0)),"")</x:f>
      </x:c>
      <x:c r="F199" s="18" t="str">
        <x:f>IFERROR(INDEX('VIP Signups'!E$5:E$204,MATCH(ROWS($A$5:A199),'VIP Signups'!$K$5:$K$204,0)),"")</x:f>
      </x:c>
      <x:c r="G199" s="18" t="str">
        <x:f>IFERROR(INDEX('VIP Signups'!H$5:H$204,MATCH(ROWS($A$5:A199),'VIP Signups'!$K$5:$K$204,0)),"")</x:f>
      </x:c>
    </x:row>
    <x:row r="200">
      <x:c r="A200" s="18" t="str">
        <x:f>IFERROR(INDEX('VIP Signups'!A$5:A$204,MATCH(ROWS($A$5:A200),'VIP Signups'!$K$5:$K$204,0)),"")</x:f>
      </x:c>
      <x:c r="B200" s="18" t="str">
        <x:f>IFERROR(INDEX('VIP Signups'!D$5:D$204,MATCH(ROWS($A$5:A200),'VIP Signups'!$K$5:$K$204,0)),"")</x:f>
      </x:c>
      <x:c r="C200" s="18" t="str">
        <x:f>IFERROR(INDEX('VIP Signups'!F$5:F$204,MATCH(ROWS($A$5:A200),'VIP Signups'!$K$5:$K$204,0)),"")</x:f>
      </x:c>
      <x:c r="D200" s="18" t="str">
        <x:f>IFERROR(INDEX('VIP Signups'!M$5:M$204,MATCH(ROWS($A$5:A200),'VIP Signups'!$K$5:$K$204,0)),"")</x:f>
      </x:c>
      <x:c r="E200" s="18" t="str">
        <x:f>IFERROR(INDEX('VIP Signups'!C$5:C$204,MATCH(ROWS($A$5:A200),'VIP Signups'!$K$5:$K$204,0)),"")</x:f>
      </x:c>
      <x:c r="F200" s="18" t="str">
        <x:f>IFERROR(INDEX('VIP Signups'!E$5:E$204,MATCH(ROWS($A$5:A200),'VIP Signups'!$K$5:$K$204,0)),"")</x:f>
      </x:c>
      <x:c r="G200" s="18" t="str">
        <x:f>IFERROR(INDEX('VIP Signups'!H$5:H$204,MATCH(ROWS($A$5:A200),'VIP Signups'!$K$5:$K$204,0)),"")</x:f>
      </x:c>
    </x:row>
    <x:row r="201">
      <x:c r="A201" s="18" t="str">
        <x:f>IFERROR(INDEX('VIP Signups'!A$5:A$204,MATCH(ROWS($A$5:A201),'VIP Signups'!$K$5:$K$204,0)),"")</x:f>
      </x:c>
      <x:c r="B201" s="18" t="str">
        <x:f>IFERROR(INDEX('VIP Signups'!D$5:D$204,MATCH(ROWS($A$5:A201),'VIP Signups'!$K$5:$K$204,0)),"")</x:f>
      </x:c>
      <x:c r="C201" s="18" t="str">
        <x:f>IFERROR(INDEX('VIP Signups'!F$5:F$204,MATCH(ROWS($A$5:A201),'VIP Signups'!$K$5:$K$204,0)),"")</x:f>
      </x:c>
      <x:c r="D201" s="18" t="str">
        <x:f>IFERROR(INDEX('VIP Signups'!M$5:M$204,MATCH(ROWS($A$5:A201),'VIP Signups'!$K$5:$K$204,0)),"")</x:f>
      </x:c>
      <x:c r="E201" s="18" t="str">
        <x:f>IFERROR(INDEX('VIP Signups'!C$5:C$204,MATCH(ROWS($A$5:A201),'VIP Signups'!$K$5:$K$204,0)),"")</x:f>
      </x:c>
      <x:c r="F201" s="18" t="str">
        <x:f>IFERROR(INDEX('VIP Signups'!E$5:E$204,MATCH(ROWS($A$5:A201),'VIP Signups'!$K$5:$K$204,0)),"")</x:f>
      </x:c>
      <x:c r="G201" s="18" t="str">
        <x:f>IFERROR(INDEX('VIP Signups'!H$5:H$204,MATCH(ROWS($A$5:A201),'VIP Signups'!$K$5:$K$204,0)),"")</x:f>
      </x:c>
    </x:row>
    <x:row r="202">
      <x:c r="A202" s="18" t="str">
        <x:f>IFERROR(INDEX('VIP Signups'!A$5:A$204,MATCH(ROWS($A$5:A202),'VIP Signups'!$K$5:$K$204,0)),"")</x:f>
      </x:c>
      <x:c r="B202" s="18" t="str">
        <x:f>IFERROR(INDEX('VIP Signups'!D$5:D$204,MATCH(ROWS($A$5:A202),'VIP Signups'!$K$5:$K$204,0)),"")</x:f>
      </x:c>
      <x:c r="C202" s="18" t="str">
        <x:f>IFERROR(INDEX('VIP Signups'!F$5:F$204,MATCH(ROWS($A$5:A202),'VIP Signups'!$K$5:$K$204,0)),"")</x:f>
      </x:c>
      <x:c r="D202" s="18" t="str">
        <x:f>IFERROR(INDEX('VIP Signups'!M$5:M$204,MATCH(ROWS($A$5:A202),'VIP Signups'!$K$5:$K$204,0)),"")</x:f>
      </x:c>
      <x:c r="E202" s="18" t="str">
        <x:f>IFERROR(INDEX('VIP Signups'!C$5:C$204,MATCH(ROWS($A$5:A202),'VIP Signups'!$K$5:$K$204,0)),"")</x:f>
      </x:c>
      <x:c r="F202" s="18" t="str">
        <x:f>IFERROR(INDEX('VIP Signups'!E$5:E$204,MATCH(ROWS($A$5:A202),'VIP Signups'!$K$5:$K$204,0)),"")</x:f>
      </x:c>
      <x:c r="G202" s="18" t="str">
        <x:f>IFERROR(INDEX('VIP Signups'!H$5:H$204,MATCH(ROWS($A$5:A202),'VIP Signups'!$K$5:$K$204,0)),"")</x:f>
      </x:c>
    </x:row>
    <x:row r="203">
      <x:c r="A203" s="18" t="str">
        <x:f>IFERROR(INDEX('VIP Signups'!A$5:A$204,MATCH(ROWS($A$5:A203),'VIP Signups'!$K$5:$K$204,0)),"")</x:f>
      </x:c>
      <x:c r="B203" s="18" t="str">
        <x:f>IFERROR(INDEX('VIP Signups'!D$5:D$204,MATCH(ROWS($A$5:A203),'VIP Signups'!$K$5:$K$204,0)),"")</x:f>
      </x:c>
      <x:c r="C203" s="18" t="str">
        <x:f>IFERROR(INDEX('VIP Signups'!F$5:F$204,MATCH(ROWS($A$5:A203),'VIP Signups'!$K$5:$K$204,0)),"")</x:f>
      </x:c>
      <x:c r="D203" s="18" t="str">
        <x:f>IFERROR(INDEX('VIP Signups'!M$5:M$204,MATCH(ROWS($A$5:A203),'VIP Signups'!$K$5:$K$204,0)),"")</x:f>
      </x:c>
      <x:c r="E203" s="18" t="str">
        <x:f>IFERROR(INDEX('VIP Signups'!C$5:C$204,MATCH(ROWS($A$5:A203),'VIP Signups'!$K$5:$K$204,0)),"")</x:f>
      </x:c>
      <x:c r="F203" s="18" t="str">
        <x:f>IFERROR(INDEX('VIP Signups'!E$5:E$204,MATCH(ROWS($A$5:A203),'VIP Signups'!$K$5:$K$204,0)),"")</x:f>
      </x:c>
      <x:c r="G203" s="18" t="str">
        <x:f>IFERROR(INDEX('VIP Signups'!H$5:H$204,MATCH(ROWS($A$5:A203),'VIP Signups'!$K$5:$K$204,0)),"")</x:f>
      </x:c>
    </x:row>
    <x:row r="204">
      <x:c r="A204" s="18" t="str">
        <x:f>IFERROR(INDEX('VIP Signups'!A$5:A$204,MATCH(ROWS($A$5:A204),'VIP Signups'!$K$5:$K$204,0)),"")</x:f>
      </x:c>
      <x:c r="B204" s="18" t="str">
        <x:f>IFERROR(INDEX('VIP Signups'!D$5:D$204,MATCH(ROWS($A$5:A204),'VIP Signups'!$K$5:$K$204,0)),"")</x:f>
      </x:c>
      <x:c r="C204" s="18" t="str">
        <x:f>IFERROR(INDEX('VIP Signups'!F$5:F$204,MATCH(ROWS($A$5:A204),'VIP Signups'!$K$5:$K$204,0)),"")</x:f>
      </x:c>
      <x:c r="D204" s="18" t="str">
        <x:f>IFERROR(INDEX('VIP Signups'!M$5:M$204,MATCH(ROWS($A$5:A204),'VIP Signups'!$K$5:$K$204,0)),"")</x:f>
      </x:c>
      <x:c r="E204" s="18" t="str">
        <x:f>IFERROR(INDEX('VIP Signups'!C$5:C$204,MATCH(ROWS($A$5:A204),'VIP Signups'!$K$5:$K$204,0)),"")</x:f>
      </x:c>
      <x:c r="F204" s="18" t="str">
        <x:f>IFERROR(INDEX('VIP Signups'!E$5:E$204,MATCH(ROWS($A$5:A204),'VIP Signups'!$K$5:$K$204,0)),"")</x:f>
      </x:c>
      <x:c r="G204" s="18" t="str">
        <x:f>IFERROR(INDEX('VIP Signups'!H$5:H$204,MATCH(ROWS($A$5:A204),'VIP Signups'!$K$5:$K$204,0)),"")</x:f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5" max="5" width="14.380000114440918" hidden="0" customWidth="1"/>
    <x:col min="6" max="6" width="14.380000114440918" hidden="0" customWidth="1"/>
    <x:col min="7" max="7" width="14.380000114440918" hidden="0" customWidth="1"/>
    <x:col min="8" max="8" width="14.380000114440918" hidden="0" customWidth="1"/>
    <x:col min="9" max="9" width="14.380000114440918" hidden="0" customWidth="1"/>
    <x:col min="10" max="10" width="32.5" hidden="0" customWidth="1"/>
    <x:col min="11" max="11" width="32.5" hidden="0" customWidth="1"/>
  </x:cols>
  <x:sheetData>
    <x:row r="1">
      <x:c r="A1" s="3" t="str">
        <x:v>Benefit Reset Tracker</x:v>
      </x:c>
      <x:c r="B1" s="3" t="str">
        <x:v>Benefit Reset Tracker</x:v>
      </x:c>
      <x:c r="C1" s="3" t="str">
        <x:v>Benefit Reset Tracker</x:v>
      </x:c>
      <x:c r="D1" s="3" t="str">
        <x:v>Benefit Reset Tracker</x:v>
      </x:c>
      <x:c r="E1" s="3" t="str">
        <x:v>Benefit Reset Tracker</x:v>
      </x:c>
      <x:c r="F1" s="3" t="str">
        <x:v>Benefit Reset Tracker</x:v>
      </x:c>
      <x:c r="G1" s="3" t="str">
        <x:v>Benefit Reset Tracker</x:v>
      </x:c>
      <x:c r="H1" s="3" t="str">
        <x:v>Benefit Reset Tracker</x:v>
      </x:c>
      <x:c r="I1" s="3" t="str">
        <x:v>Benefit Reset Tracker</x:v>
      </x:c>
      <x:c r="J1" s="3" t="str">
        <x:v>Benefit Reset Tracker</x:v>
      </x:c>
      <x:c r="K1" s="3" t="str">
        <x:v>Benefit Reset Tracker</x:v>
      </x:c>
      <x:c r="L1" s="3" t="str">
        <x:v>Benefit Reset Tracker</x:v>
      </x:c>
      <x:c r="M1" s="3" t="str">
        <x:v>Benefit Reset Tracker</x:v>
      </x:c>
      <x:c r="N1" s="3" t="str">
        <x:v>Benefit Reset Tracker</x:v>
      </x:c>
    </x:row>
    <x:row r="2">
      <x:c r="A2" s="7" t="str">
        <x:v>Track benefits that refresh on a signup-date anchored schedule. Set Max Uses and Uses This Period to support multi-use monthly benefits.</x:v>
      </x:c>
      <x:c r="B2" s="7" t="str">
        <x:v>Track benefits that refresh on a signup-date anchored schedule. Set Max Uses and Uses This Period to support multi-use monthly benefits.</x:v>
      </x:c>
      <x:c r="C2" s="7" t="str">
        <x:v>Track benefits that refresh on a signup-date anchored schedule. Set Max Uses and Uses This Period to support multi-use monthly benefits.</x:v>
      </x:c>
      <x:c r="D2" s="7" t="str">
        <x:v>Track benefits that refresh on a signup-date anchored schedule. Set Max Uses and Uses This Period to support multi-use monthly benefits.</x:v>
      </x:c>
      <x:c r="E2" s="7" t="str">
        <x:v>Track benefits that refresh on a signup-date anchored schedule. Set Max Uses and Uses This Period to support multi-use monthly benefits.</x:v>
      </x:c>
      <x:c r="F2" s="7" t="str">
        <x:v>Track benefits that refresh on a signup-date anchored schedule. Set Max Uses and Uses This Period to support multi-use monthly benefits.</x:v>
      </x:c>
      <x:c r="G2" s="7" t="str">
        <x:v>Track benefits that refresh on a signup-date anchored schedule. Set Max Uses and Uses This Period to support multi-use monthly benefits.</x:v>
      </x:c>
      <x:c r="H2" s="7" t="str">
        <x:v>Track benefits that refresh on a signup-date anchored schedule. Set Max Uses and Uses This Period to support multi-use monthly benefits.</x:v>
      </x:c>
      <x:c r="I2" s="7" t="str">
        <x:v>Track benefits that refresh on a signup-date anchored schedule. Set Max Uses and Uses This Period to support multi-use monthly benefits.</x:v>
      </x:c>
      <x:c r="J2" s="7" t="str">
        <x:v>Track benefits that refresh on a signup-date anchored schedule. Set Max Uses and Uses This Period to support multi-use monthly benefits.</x:v>
      </x:c>
      <x:c r="K2" s="7" t="str">
        <x:v>Track benefits that refresh on a signup-date anchored schedule. Set Max Uses and Uses This Period to support multi-use monthly benefits.</x:v>
      </x:c>
      <x:c r="L2" s="7" t="str">
        <x:v>Track benefits that refresh on a signup-date anchored schedule. Set Max Uses and Uses This Period to support multi-use monthly benefits.</x:v>
      </x:c>
      <x:c r="M2" s="7" t="str">
        <x:v>Track benefits that refresh on a signup-date anchored schedule. Set Max Uses and Uses This Period to support multi-use monthly benefits.</x:v>
      </x:c>
      <x:c r="N2" s="7" t="str">
        <x:v>Track benefits that refresh on a signup-date anchored schedule. Set Max Uses and Uses This Period to support multi-use monthly benefits.</x:v>
      </x:c>
    </x:row>
    <x:row r="4">
      <x:c r="A4" s="13" t="str">
        <x:v>Character Name</x:v>
      </x:c>
      <x:c r="B4" s="13" t="str">
        <x:v>Benefit</x:v>
      </x:c>
      <x:c r="C4" s="13" t="str">
        <x:v>Reset Period</x:v>
      </x:c>
      <x:c r="D4" s="13" t="str">
        <x:v>Last Used</x:v>
      </x:c>
      <x:c r="E4" s="13" t="str">
        <x:v>Max Uses</x:v>
      </x:c>
      <x:c r="F4" s="13" t="str">
        <x:v>Uses This Period</x:v>
      </x:c>
      <x:c r="G4" s="13" t="str">
        <x:v>Remaining Uses</x:v>
      </x:c>
      <x:c r="H4" s="13" t="str">
        <x:v>Next Reset</x:v>
      </x:c>
      <x:c r="I4" s="13" t="str">
        <x:v>Available?</x:v>
      </x:c>
      <x:c r="J4" s="13" t="str">
        <x:v>Visible Note</x:v>
      </x:c>
      <x:c r="K4" s="13" t="str">
        <x:v>Staff Notes</x:v>
      </x:c>
      <x:c r="L4" s="13" t="str">
        <x:v>Include In Plugin?</x:v>
      </x:c>
      <x:c r="M4" s="13" t="str">
        <x:v>Sort Key</x:v>
      </x:c>
      <x:c r="N4" s="13" t="str">
        <x:v>Help</x:v>
      </x:c>
    </x:row>
    <x:row r="5">
      <x:c r="A5" s="18" t="str">
        <x:v>Astra Dawn</x:v>
      </x:c>
      <x:c r="B5" s="18" t="str">
        <x:v>Photo Slot</x:v>
      </x:c>
      <x:c r="C5" s="18" t="str">
        <x:v>Monthly</x:v>
      </x:c>
      <x:c r="D5" s="19" t="n">
        <x:v>46179</x:v>
      </x:c>
      <x:c r="E5" s="20" t="n">
        <x:v>3</x:v>
      </x:c>
      <x:c r="F5" s="20" t="n">
        <x:v>1</x:v>
      </x:c>
      <x:c r="G5" s="20" t="n">
        <x:f>IF(A5="","",IF(C5="Manual","Manual",MAX(0,IF(E5="",1,E5)-IF(OR(D5="",D5&lt;SWITCH(C5,"Daily",TODAY(),"Weekly",IFERROR(VLOOKUP(A5,'VIP Signups'!$A$5:$B$204,2,FALSE)+INT((TODAY()-VLOOKUP(A5,'VIP Signups'!$A$5:$B$204,2,FALSE))/7)*7,TODAY()),"Monthly",IFERROR(EDATE(VLOOKUP(A5,'VIP Signups'!$A$5:$B$204,2,FALSE),DATEDIF(VLOOKUP(A5,'VIP Signups'!$A$5:$B$204,2,FALSE),TODAY(),"M")),TODAY()),"Quarterly",IFERROR(EDATE(VLOOKUP(A5,'VIP Signups'!$A$5:$B$204,2,FALSE),INT(DATEDIF(VLOOKUP(A5,'VIP Signups'!$A$5:$B$204,2,FALSE),TODAY(),"M")/3)*3),TODAY()),"Yearly",IFERROR(EDATE(VLOOKUP(A5,'VIP Signups'!$A$5:$B$204,2,FALSE),DATEDIF(VLOOKUP(A5,'VIP Signups'!$A$5:$B$204,2,FALSE),TODAY(),"Y")*12),TODAY()),"One-time",IFERROR(VLOOKUP(A5,'VIP Signups'!$A$5:$B$204,2,FALSE),D5),"Manual",TODAY(),TODAY())),0,IF(F5="",0,F5)))))</x:f>
        <x:v>2</x:v>
      </x:c>
      <x:c r="H5" s="19" t="n">
        <x:f>IF(A5="","",SWITCH(C5,"Daily",TODAY()+1,"Weekly",IFERROR(VLOOKUP(A5,'VIP Signups'!$A$5:$B$204,2,FALSE)+CEILING((TODAY()-VLOOKUP(A5,'VIP Signups'!$A$5:$B$204,2,FALSE)+1)/7,1)*7,D5+7),"Monthly",IFERROR(EDATE(VLOOKUP(A5,'VIP Signups'!$A$5:$B$204,2,FALSE),DATEDIF(VLOOKUP(A5,'VIP Signups'!$A$5:$B$204,2,FALSE),TODAY(),"M")+1),EDATE(D5,1)),"Quarterly",IFERROR(EDATE(VLOOKUP(A5,'VIP Signups'!$A$5:$B$204,2,FALSE),(INT(DATEDIF(VLOOKUP(A5,'VIP Signups'!$A$5:$B$204,2,FALSE),TODAY(),"M")/3)+1)*3),EDATE(D5,3)),"Yearly",IFERROR(EDATE(VLOOKUP(A5,'VIP Signups'!$A$5:$B$204,2,FALSE),(DATEDIF(VLOOKUP(A5,'VIP Signups'!$A$5:$B$204,2,FALSE),TODAY(),"Y")+1)*12),EDATE(D5,12)),"One-time","Used","Manual","Manual",""))</x:f>
        <x:v>46204</x:v>
      </x:c>
      <x:c r="I5" s="18" t="str">
        <x:f>IF(A5="","",IF(G5="Manual","Manual",IF(G5&gt;0,"Yes","No")))</x:f>
        <x:v>Yes</x:v>
      </x:c>
      <x:c r="J5" s="18" t="str">
        <x:f>IF(A5="","",B5&amp;": "&amp;IF(I5="Yes","Available ("&amp;G5&amp;"/"&amp;IF(E5="",1,E5)&amp;" left)",IF(I5="Manual","Manual check",IF(ISNUMBER(H5),"0/"&amp;IF(E5="",1,E5)&amp;" left; resets "&amp;TEXT(H5,"yyyy-mm-dd"),"Used"))))</x:f>
        <x:v>Photo Slot: Available (2/3 left)</x:v>
      </x:c>
      <x:c r="K5" s="18" t="str">
        <x:v>Example monthly benefit.</x:v>
      </x:c>
      <x:c r="L5" s="18" t="str">
        <x:v>Yes</x:v>
      </x:c>
      <x:c r="M5" s="18" t="str">
        <x:f>IF(A5="","",A5&amp;"|"&amp;B5)</x:f>
        <x:v>Astra Dawn|Photo Slot</x:v>
      </x:c>
      <x:c r="N5" s="18"/>
    </x:row>
    <x:row r="6">
      <x:c r="A6" s="18" t="str">
        <x:v>Astra Dawn</x:v>
      </x:c>
      <x:c r="B6" s="18" t="str">
        <x:v>Gamba Token</x:v>
      </x:c>
      <x:c r="C6" s="18" t="str">
        <x:v>Weekly</x:v>
      </x:c>
      <x:c r="D6" s="19" t="n">
        <x:v>46183</x:v>
      </x:c>
      <x:c r="E6" s="20" t="n">
        <x:v>1</x:v>
      </x:c>
      <x:c r="F6" s="20" t="n">
        <x:v>1</x:v>
      </x:c>
      <x:c r="G6" s="20" t="n">
        <x:f>IF(A6="","",IF(C6="Manual","Manual",MAX(0,IF(E6="",1,E6)-IF(OR(D6="",D6&lt;SWITCH(C6,"Daily",TODAY(),"Weekly",IFERROR(VLOOKUP(A6,'VIP Signups'!$A$5:$B$204,2,FALSE)+INT((TODAY()-VLOOKUP(A6,'VIP Signups'!$A$5:$B$204,2,FALSE))/7)*7,TODAY()),"Monthly",IFERROR(EDATE(VLOOKUP(A6,'VIP Signups'!$A$5:$B$204,2,FALSE),DATEDIF(VLOOKUP(A6,'VIP Signups'!$A$5:$B$204,2,FALSE),TODAY(),"M")),TODAY()),"Quarterly",IFERROR(EDATE(VLOOKUP(A6,'VIP Signups'!$A$5:$B$204,2,FALSE),INT(DATEDIF(VLOOKUP(A6,'VIP Signups'!$A$5:$B$204,2,FALSE),TODAY(),"M")/3)*3),TODAY()),"Yearly",IFERROR(EDATE(VLOOKUP(A6,'VIP Signups'!$A$5:$B$204,2,FALSE),DATEDIF(VLOOKUP(A6,'VIP Signups'!$A$5:$B$204,2,FALSE),TODAY(),"Y")*12),TODAY()),"One-time",IFERROR(VLOOKUP(A6,'VIP Signups'!$A$5:$B$204,2,FALSE),D6),"Manual",TODAY(),TODAY())),0,IF(F6="",0,F6)))))</x:f>
        <x:v>1</x:v>
      </x:c>
      <x:c r="H6" s="19" t="n">
        <x:f>IF(A6="","",SWITCH(C6,"Daily",TODAY()+1,"Weekly",IFERROR(VLOOKUP(A6,'VIP Signups'!$A$5:$B$204,2,FALSE)+CEILING((TODAY()-VLOOKUP(A6,'VIP Signups'!$A$5:$B$204,2,FALSE)+1)/7,1)*7,D6+7),"Monthly",IFERROR(EDATE(VLOOKUP(A6,'VIP Signups'!$A$5:$B$204,2,FALSE),DATEDIF(VLOOKUP(A6,'VIP Signups'!$A$5:$B$204,2,FALSE),TODAY(),"M")+1),EDATE(D6,1)),"Quarterly",IFERROR(EDATE(VLOOKUP(A6,'VIP Signups'!$A$5:$B$204,2,FALSE),(INT(DATEDIF(VLOOKUP(A6,'VIP Signups'!$A$5:$B$204,2,FALSE),TODAY(),"M")/3)+1)*3),EDATE(D6,3)),"Yearly",IFERROR(EDATE(VLOOKUP(A6,'VIP Signups'!$A$5:$B$204,2,FALSE),(DATEDIF(VLOOKUP(A6,'VIP Signups'!$A$5:$B$204,2,FALSE),TODAY(),"Y")+1)*12),EDATE(D6,12)),"One-time","Used","Manual","Manual",""))</x:f>
        <x:v>46195</x:v>
      </x:c>
      <x:c r="I6" s="18" t="str">
        <x:f>IF(A6="","",IF(G6="Manual","Manual",IF(G6&gt;0,"Yes","No")))</x:f>
        <x:v>Yes</x:v>
      </x:c>
      <x:c r="J6" s="18" t="str">
        <x:f>IF(A6="","",B6&amp;": "&amp;IF(I6="Yes","Available ("&amp;G6&amp;"/"&amp;IF(E6="",1,E6)&amp;" left)",IF(I6="Manual","Manual check",IF(ISNUMBER(H6),"0/"&amp;IF(E6="",1,E6)&amp;" left; resets "&amp;TEXT(H6,"yyyy-mm-dd"),"Used"))))</x:f>
        <x:v>Gamba Token: Available (1/1 left)</x:v>
      </x:c>
      <x:c r="K6" s="18" t="str">
        <x:v>Example weekly benefit.</x:v>
      </x:c>
      <x:c r="L6" s="18" t="str">
        <x:v>Yes</x:v>
      </x:c>
      <x:c r="M6" s="18" t="str">
        <x:f>IF(A6="","",A6&amp;"|"&amp;B6)</x:f>
        <x:v>Astra Dawn|Gamba Token</x:v>
      </x:c>
      <x:c r="N6" s="18"/>
    </x:row>
    <x:row r="7">
      <x:c r="A7" s="18"/>
      <x:c r="B7" s="18"/>
      <x:c r="C7" s="18"/>
      <x:c r="D7" s="19"/>
      <x:c r="E7" s="20"/>
      <x:c r="F7" s="20"/>
      <x:c r="G7" s="20" t="str">
        <x:f>IF(A7="","",IF(C7="Manual","Manual",MAX(0,IF(E7="",1,E7)-IF(OR(D7="",D7&lt;SWITCH(C7,"Daily",TODAY(),"Weekly",IFERROR(VLOOKUP(A7,'VIP Signups'!$A$5:$B$204,2,FALSE)+INT((TODAY()-VLOOKUP(A7,'VIP Signups'!$A$5:$B$204,2,FALSE))/7)*7,TODAY()),"Monthly",IFERROR(EDATE(VLOOKUP(A7,'VIP Signups'!$A$5:$B$204,2,FALSE),DATEDIF(VLOOKUP(A7,'VIP Signups'!$A$5:$B$204,2,FALSE),TODAY(),"M")),TODAY()),"Quarterly",IFERROR(EDATE(VLOOKUP(A7,'VIP Signups'!$A$5:$B$204,2,FALSE),INT(DATEDIF(VLOOKUP(A7,'VIP Signups'!$A$5:$B$204,2,FALSE),TODAY(),"M")/3)*3),TODAY()),"Yearly",IFERROR(EDATE(VLOOKUP(A7,'VIP Signups'!$A$5:$B$204,2,FALSE),DATEDIF(VLOOKUP(A7,'VIP Signups'!$A$5:$B$204,2,FALSE),TODAY(),"Y")*12),TODAY()),"One-time",IFERROR(VLOOKUP(A7,'VIP Signups'!$A$5:$B$204,2,FALSE),D7),"Manual",TODAY(),TODAY())),0,IF(F7="",0,F7)))))</x:f>
      </x:c>
      <x:c r="H7" s="19" t="str">
        <x:f>IF(A7="","",SWITCH(C7,"Daily",TODAY()+1,"Weekly",IFERROR(VLOOKUP(A7,'VIP Signups'!$A$5:$B$204,2,FALSE)+CEILING((TODAY()-VLOOKUP(A7,'VIP Signups'!$A$5:$B$204,2,FALSE)+1)/7,1)*7,D7+7),"Monthly",IFERROR(EDATE(VLOOKUP(A7,'VIP Signups'!$A$5:$B$204,2,FALSE),DATEDIF(VLOOKUP(A7,'VIP Signups'!$A$5:$B$204,2,FALSE),TODAY(),"M")+1),EDATE(D7,1)),"Quarterly",IFERROR(EDATE(VLOOKUP(A7,'VIP Signups'!$A$5:$B$204,2,FALSE),(INT(DATEDIF(VLOOKUP(A7,'VIP Signups'!$A$5:$B$204,2,FALSE),TODAY(),"M")/3)+1)*3),EDATE(D7,3)),"Yearly",IFERROR(EDATE(VLOOKUP(A7,'VIP Signups'!$A$5:$B$204,2,FALSE),(DATEDIF(VLOOKUP(A7,'VIP Signups'!$A$5:$B$204,2,FALSE),TODAY(),"Y")+1)*12),EDATE(D7,12)),"One-time","Used","Manual","Manual",""))</x:f>
      </x:c>
      <x:c r="I7" s="18" t="str">
        <x:f>IF(A7="","",IF(G7="Manual","Manual",IF(G7&gt;0,"Yes","No")))</x:f>
      </x:c>
      <x:c r="J7" s="18" t="str">
        <x:f>IF(A7="","",B7&amp;": "&amp;IF(I7="Yes","Available ("&amp;G7&amp;"/"&amp;IF(E7="",1,E7)&amp;" left)",IF(I7="Manual","Manual check",IF(ISNUMBER(H7),"0/"&amp;IF(E7="",1,E7)&amp;" left; resets "&amp;TEXT(H7,"yyyy-mm-dd"),"Used"))))</x:f>
      </x:c>
      <x:c r="K7" s="18"/>
      <x:c r="L7" s="18" t="str">
        <x:v>Yes</x:v>
      </x:c>
      <x:c r="M7" s="18" t="str">
        <x:f>IF(A7="","",A7&amp;"|"&amp;B7)</x:f>
      </x:c>
      <x:c r="N7" s="18"/>
    </x:row>
    <x:row r="8">
      <x:c r="A8" s="18"/>
      <x:c r="B8" s="18"/>
      <x:c r="C8" s="18"/>
      <x:c r="D8" s="19"/>
      <x:c r="E8" s="20"/>
      <x:c r="F8" s="20"/>
      <x:c r="G8" s="20" t="str">
        <x:f>IF(A8="","",IF(C8="Manual","Manual",MAX(0,IF(E8="",1,E8)-IF(OR(D8="",D8&lt;SWITCH(C8,"Daily",TODAY(),"Weekly",IFERROR(VLOOKUP(A8,'VIP Signups'!$A$5:$B$204,2,FALSE)+INT((TODAY()-VLOOKUP(A8,'VIP Signups'!$A$5:$B$204,2,FALSE))/7)*7,TODAY()),"Monthly",IFERROR(EDATE(VLOOKUP(A8,'VIP Signups'!$A$5:$B$204,2,FALSE),DATEDIF(VLOOKUP(A8,'VIP Signups'!$A$5:$B$204,2,FALSE),TODAY(),"M")),TODAY()),"Quarterly",IFERROR(EDATE(VLOOKUP(A8,'VIP Signups'!$A$5:$B$204,2,FALSE),INT(DATEDIF(VLOOKUP(A8,'VIP Signups'!$A$5:$B$204,2,FALSE),TODAY(),"M")/3)*3),TODAY()),"Yearly",IFERROR(EDATE(VLOOKUP(A8,'VIP Signups'!$A$5:$B$204,2,FALSE),DATEDIF(VLOOKUP(A8,'VIP Signups'!$A$5:$B$204,2,FALSE),TODAY(),"Y")*12),TODAY()),"One-time",IFERROR(VLOOKUP(A8,'VIP Signups'!$A$5:$B$204,2,FALSE),D8),"Manual",TODAY(),TODAY())),0,IF(F8="",0,F8)))))</x:f>
      </x:c>
      <x:c r="H8" s="19" t="str">
        <x:f>IF(A8="","",SWITCH(C8,"Daily",TODAY()+1,"Weekly",IFERROR(VLOOKUP(A8,'VIP Signups'!$A$5:$B$204,2,FALSE)+CEILING((TODAY()-VLOOKUP(A8,'VIP Signups'!$A$5:$B$204,2,FALSE)+1)/7,1)*7,D8+7),"Monthly",IFERROR(EDATE(VLOOKUP(A8,'VIP Signups'!$A$5:$B$204,2,FALSE),DATEDIF(VLOOKUP(A8,'VIP Signups'!$A$5:$B$204,2,FALSE),TODAY(),"M")+1),EDATE(D8,1)),"Quarterly",IFERROR(EDATE(VLOOKUP(A8,'VIP Signups'!$A$5:$B$204,2,FALSE),(INT(DATEDIF(VLOOKUP(A8,'VIP Signups'!$A$5:$B$204,2,FALSE),TODAY(),"M")/3)+1)*3),EDATE(D8,3)),"Yearly",IFERROR(EDATE(VLOOKUP(A8,'VIP Signups'!$A$5:$B$204,2,FALSE),(DATEDIF(VLOOKUP(A8,'VIP Signups'!$A$5:$B$204,2,FALSE),TODAY(),"Y")+1)*12),EDATE(D8,12)),"One-time","Used","Manual","Manual",""))</x:f>
      </x:c>
      <x:c r="I8" s="18" t="str">
        <x:f>IF(A8="","",IF(G8="Manual","Manual",IF(G8&gt;0,"Yes","No")))</x:f>
      </x:c>
      <x:c r="J8" s="18" t="str">
        <x:f>IF(A8="","",B8&amp;": "&amp;IF(I8="Yes","Available ("&amp;G8&amp;"/"&amp;IF(E8="",1,E8)&amp;" left)",IF(I8="Manual","Manual check",IF(ISNUMBER(H8),"0/"&amp;IF(E8="",1,E8)&amp;" left; resets "&amp;TEXT(H8,"yyyy-mm-dd"),"Used"))))</x:f>
      </x:c>
      <x:c r="K8" s="18"/>
      <x:c r="L8" s="18" t="str">
        <x:v>Yes</x:v>
      </x:c>
      <x:c r="M8" s="18" t="str">
        <x:f>IF(A8="","",A8&amp;"|"&amp;B8)</x:f>
      </x:c>
      <x:c r="N8" s="18"/>
    </x:row>
    <x:row r="9">
      <x:c r="A9" s="18"/>
      <x:c r="B9" s="18"/>
      <x:c r="C9" s="18"/>
      <x:c r="D9" s="19"/>
      <x:c r="E9" s="20"/>
      <x:c r="F9" s="20"/>
      <x:c r="G9" s="20" t="str">
        <x:f>IF(A9="","",IF(C9="Manual","Manual",MAX(0,IF(E9="",1,E9)-IF(OR(D9="",D9&lt;SWITCH(C9,"Daily",TODAY(),"Weekly",IFERROR(VLOOKUP(A9,'VIP Signups'!$A$5:$B$204,2,FALSE)+INT((TODAY()-VLOOKUP(A9,'VIP Signups'!$A$5:$B$204,2,FALSE))/7)*7,TODAY()),"Monthly",IFERROR(EDATE(VLOOKUP(A9,'VIP Signups'!$A$5:$B$204,2,FALSE),DATEDIF(VLOOKUP(A9,'VIP Signups'!$A$5:$B$204,2,FALSE),TODAY(),"M")),TODAY()),"Quarterly",IFERROR(EDATE(VLOOKUP(A9,'VIP Signups'!$A$5:$B$204,2,FALSE),INT(DATEDIF(VLOOKUP(A9,'VIP Signups'!$A$5:$B$204,2,FALSE),TODAY(),"M")/3)*3),TODAY()),"Yearly",IFERROR(EDATE(VLOOKUP(A9,'VIP Signups'!$A$5:$B$204,2,FALSE),DATEDIF(VLOOKUP(A9,'VIP Signups'!$A$5:$B$204,2,FALSE),TODAY(),"Y")*12),TODAY()),"One-time",IFERROR(VLOOKUP(A9,'VIP Signups'!$A$5:$B$204,2,FALSE),D9),"Manual",TODAY(),TODAY())),0,IF(F9="",0,F9)))))</x:f>
      </x:c>
      <x:c r="H9" s="19" t="str">
        <x:f>IF(A9="","",SWITCH(C9,"Daily",TODAY()+1,"Weekly",IFERROR(VLOOKUP(A9,'VIP Signups'!$A$5:$B$204,2,FALSE)+CEILING((TODAY()-VLOOKUP(A9,'VIP Signups'!$A$5:$B$204,2,FALSE)+1)/7,1)*7,D9+7),"Monthly",IFERROR(EDATE(VLOOKUP(A9,'VIP Signups'!$A$5:$B$204,2,FALSE),DATEDIF(VLOOKUP(A9,'VIP Signups'!$A$5:$B$204,2,FALSE),TODAY(),"M")+1),EDATE(D9,1)),"Quarterly",IFERROR(EDATE(VLOOKUP(A9,'VIP Signups'!$A$5:$B$204,2,FALSE),(INT(DATEDIF(VLOOKUP(A9,'VIP Signups'!$A$5:$B$204,2,FALSE),TODAY(),"M")/3)+1)*3),EDATE(D9,3)),"Yearly",IFERROR(EDATE(VLOOKUP(A9,'VIP Signups'!$A$5:$B$204,2,FALSE),(DATEDIF(VLOOKUP(A9,'VIP Signups'!$A$5:$B$204,2,FALSE),TODAY(),"Y")+1)*12),EDATE(D9,12)),"One-time","Used","Manual","Manual",""))</x:f>
      </x:c>
      <x:c r="I9" s="18" t="str">
        <x:f>IF(A9="","",IF(G9="Manual","Manual",IF(G9&gt;0,"Yes","No")))</x:f>
      </x:c>
      <x:c r="J9" s="18" t="str">
        <x:f>IF(A9="","",B9&amp;": "&amp;IF(I9="Yes","Available ("&amp;G9&amp;"/"&amp;IF(E9="",1,E9)&amp;" left)",IF(I9="Manual","Manual check",IF(ISNUMBER(H9),"0/"&amp;IF(E9="",1,E9)&amp;" left; resets "&amp;TEXT(H9,"yyyy-mm-dd"),"Used"))))</x:f>
      </x:c>
      <x:c r="K9" s="18"/>
      <x:c r="L9" s="18" t="str">
        <x:v>Yes</x:v>
      </x:c>
      <x:c r="M9" s="18" t="str">
        <x:f>IF(A9="","",A9&amp;"|"&amp;B9)</x:f>
      </x:c>
      <x:c r="N9" s="18"/>
    </x:row>
    <x:row r="10">
      <x:c r="A10" s="18"/>
      <x:c r="B10" s="18"/>
      <x:c r="C10" s="18"/>
      <x:c r="D10" s="19"/>
      <x:c r="E10" s="20"/>
      <x:c r="F10" s="20"/>
      <x:c r="G10" s="20" t="str">
        <x:f>IF(A10="","",IF(C10="Manual","Manual",MAX(0,IF(E10="",1,E10)-IF(OR(D10="",D10&lt;SWITCH(C10,"Daily",TODAY(),"Weekly",IFERROR(VLOOKUP(A10,'VIP Signups'!$A$5:$B$204,2,FALSE)+INT((TODAY()-VLOOKUP(A10,'VIP Signups'!$A$5:$B$204,2,FALSE))/7)*7,TODAY()),"Monthly",IFERROR(EDATE(VLOOKUP(A10,'VIP Signups'!$A$5:$B$204,2,FALSE),DATEDIF(VLOOKUP(A10,'VIP Signups'!$A$5:$B$204,2,FALSE),TODAY(),"M")),TODAY()),"Quarterly",IFERROR(EDATE(VLOOKUP(A10,'VIP Signups'!$A$5:$B$204,2,FALSE),INT(DATEDIF(VLOOKUP(A10,'VIP Signups'!$A$5:$B$204,2,FALSE),TODAY(),"M")/3)*3),TODAY()),"Yearly",IFERROR(EDATE(VLOOKUP(A10,'VIP Signups'!$A$5:$B$204,2,FALSE),DATEDIF(VLOOKUP(A10,'VIP Signups'!$A$5:$B$204,2,FALSE),TODAY(),"Y")*12),TODAY()),"One-time",IFERROR(VLOOKUP(A10,'VIP Signups'!$A$5:$B$204,2,FALSE),D10),"Manual",TODAY(),TODAY())),0,IF(F10="",0,F10)))))</x:f>
      </x:c>
      <x:c r="H10" s="19" t="str">
        <x:f>IF(A10="","",SWITCH(C10,"Daily",TODAY()+1,"Weekly",IFERROR(VLOOKUP(A10,'VIP Signups'!$A$5:$B$204,2,FALSE)+CEILING((TODAY()-VLOOKUP(A10,'VIP Signups'!$A$5:$B$204,2,FALSE)+1)/7,1)*7,D10+7),"Monthly",IFERROR(EDATE(VLOOKUP(A10,'VIP Signups'!$A$5:$B$204,2,FALSE),DATEDIF(VLOOKUP(A10,'VIP Signups'!$A$5:$B$204,2,FALSE),TODAY(),"M")+1),EDATE(D10,1)),"Quarterly",IFERROR(EDATE(VLOOKUP(A10,'VIP Signups'!$A$5:$B$204,2,FALSE),(INT(DATEDIF(VLOOKUP(A10,'VIP Signups'!$A$5:$B$204,2,FALSE),TODAY(),"M")/3)+1)*3),EDATE(D10,3)),"Yearly",IFERROR(EDATE(VLOOKUP(A10,'VIP Signups'!$A$5:$B$204,2,FALSE),(DATEDIF(VLOOKUP(A10,'VIP Signups'!$A$5:$B$204,2,FALSE),TODAY(),"Y")+1)*12),EDATE(D10,12)),"One-time","Used","Manual","Manual",""))</x:f>
      </x:c>
      <x:c r="I10" s="18" t="str">
        <x:f>IF(A10="","",IF(G10="Manual","Manual",IF(G10&gt;0,"Yes","No")))</x:f>
      </x:c>
      <x:c r="J10" s="18" t="str">
        <x:f>IF(A10="","",B10&amp;": "&amp;IF(I10="Yes","Available ("&amp;G10&amp;"/"&amp;IF(E10="",1,E10)&amp;" left)",IF(I10="Manual","Manual check",IF(ISNUMBER(H10),"0/"&amp;IF(E10="",1,E10)&amp;" left; resets "&amp;TEXT(H10,"yyyy-mm-dd"),"Used"))))</x:f>
      </x:c>
      <x:c r="K10" s="18"/>
      <x:c r="L10" s="18" t="str">
        <x:v>Yes</x:v>
      </x:c>
      <x:c r="M10" s="18" t="str">
        <x:f>IF(A10="","",A10&amp;"|"&amp;B10)</x:f>
      </x:c>
      <x:c r="N10" s="18"/>
    </x:row>
    <x:row r="11">
      <x:c r="A11" s="18"/>
      <x:c r="B11" s="18"/>
      <x:c r="C11" s="18"/>
      <x:c r="D11" s="19"/>
      <x:c r="E11" s="20"/>
      <x:c r="F11" s="20"/>
      <x:c r="G11" s="20" t="str">
        <x:f>IF(A11="","",IF(C11="Manual","Manual",MAX(0,IF(E11="",1,E11)-IF(OR(D11="",D11&lt;SWITCH(C11,"Daily",TODAY(),"Weekly",IFERROR(VLOOKUP(A11,'VIP Signups'!$A$5:$B$204,2,FALSE)+INT((TODAY()-VLOOKUP(A11,'VIP Signups'!$A$5:$B$204,2,FALSE))/7)*7,TODAY()),"Monthly",IFERROR(EDATE(VLOOKUP(A11,'VIP Signups'!$A$5:$B$204,2,FALSE),DATEDIF(VLOOKUP(A11,'VIP Signups'!$A$5:$B$204,2,FALSE),TODAY(),"M")),TODAY()),"Quarterly",IFERROR(EDATE(VLOOKUP(A11,'VIP Signups'!$A$5:$B$204,2,FALSE),INT(DATEDIF(VLOOKUP(A11,'VIP Signups'!$A$5:$B$204,2,FALSE),TODAY(),"M")/3)*3),TODAY()),"Yearly",IFERROR(EDATE(VLOOKUP(A11,'VIP Signups'!$A$5:$B$204,2,FALSE),DATEDIF(VLOOKUP(A11,'VIP Signups'!$A$5:$B$204,2,FALSE),TODAY(),"Y")*12),TODAY()),"One-time",IFERROR(VLOOKUP(A11,'VIP Signups'!$A$5:$B$204,2,FALSE),D11),"Manual",TODAY(),TODAY())),0,IF(F11="",0,F11)))))</x:f>
      </x:c>
      <x:c r="H11" s="19" t="str">
        <x:f>IF(A11="","",SWITCH(C11,"Daily",TODAY()+1,"Weekly",IFERROR(VLOOKUP(A11,'VIP Signups'!$A$5:$B$204,2,FALSE)+CEILING((TODAY()-VLOOKUP(A11,'VIP Signups'!$A$5:$B$204,2,FALSE)+1)/7,1)*7,D11+7),"Monthly",IFERROR(EDATE(VLOOKUP(A11,'VIP Signups'!$A$5:$B$204,2,FALSE),DATEDIF(VLOOKUP(A11,'VIP Signups'!$A$5:$B$204,2,FALSE),TODAY(),"M")+1),EDATE(D11,1)),"Quarterly",IFERROR(EDATE(VLOOKUP(A11,'VIP Signups'!$A$5:$B$204,2,FALSE),(INT(DATEDIF(VLOOKUP(A11,'VIP Signups'!$A$5:$B$204,2,FALSE),TODAY(),"M")/3)+1)*3),EDATE(D11,3)),"Yearly",IFERROR(EDATE(VLOOKUP(A11,'VIP Signups'!$A$5:$B$204,2,FALSE),(DATEDIF(VLOOKUP(A11,'VIP Signups'!$A$5:$B$204,2,FALSE),TODAY(),"Y")+1)*12),EDATE(D11,12)),"One-time","Used","Manual","Manual",""))</x:f>
      </x:c>
      <x:c r="I11" s="18" t="str">
        <x:f>IF(A11="","",IF(G11="Manual","Manual",IF(G11&gt;0,"Yes","No")))</x:f>
      </x:c>
      <x:c r="J11" s="18" t="str">
        <x:f>IF(A11="","",B11&amp;": "&amp;IF(I11="Yes","Available ("&amp;G11&amp;"/"&amp;IF(E11="",1,E11)&amp;" left)",IF(I11="Manual","Manual check",IF(ISNUMBER(H11),"0/"&amp;IF(E11="",1,E11)&amp;" left; resets "&amp;TEXT(H11,"yyyy-mm-dd"),"Used"))))</x:f>
      </x:c>
      <x:c r="K11" s="18"/>
      <x:c r="L11" s="18" t="str">
        <x:v>Yes</x:v>
      </x:c>
      <x:c r="M11" s="18" t="str">
        <x:f>IF(A11="","",A11&amp;"|"&amp;B11)</x:f>
      </x:c>
      <x:c r="N11" s="18"/>
    </x:row>
    <x:row r="12">
      <x:c r="A12" s="18"/>
      <x:c r="B12" s="18"/>
      <x:c r="C12" s="18"/>
      <x:c r="D12" s="19"/>
      <x:c r="E12" s="20"/>
      <x:c r="F12" s="20"/>
      <x:c r="G12" s="20" t="str">
        <x:f>IF(A12="","",IF(C12="Manual","Manual",MAX(0,IF(E12="",1,E12)-IF(OR(D12="",D12&lt;SWITCH(C12,"Daily",TODAY(),"Weekly",IFERROR(VLOOKUP(A12,'VIP Signups'!$A$5:$B$204,2,FALSE)+INT((TODAY()-VLOOKUP(A12,'VIP Signups'!$A$5:$B$204,2,FALSE))/7)*7,TODAY()),"Monthly",IFERROR(EDATE(VLOOKUP(A12,'VIP Signups'!$A$5:$B$204,2,FALSE),DATEDIF(VLOOKUP(A12,'VIP Signups'!$A$5:$B$204,2,FALSE),TODAY(),"M")),TODAY()),"Quarterly",IFERROR(EDATE(VLOOKUP(A12,'VIP Signups'!$A$5:$B$204,2,FALSE),INT(DATEDIF(VLOOKUP(A12,'VIP Signups'!$A$5:$B$204,2,FALSE),TODAY(),"M")/3)*3),TODAY()),"Yearly",IFERROR(EDATE(VLOOKUP(A12,'VIP Signups'!$A$5:$B$204,2,FALSE),DATEDIF(VLOOKUP(A12,'VIP Signups'!$A$5:$B$204,2,FALSE),TODAY(),"Y")*12),TODAY()),"One-time",IFERROR(VLOOKUP(A12,'VIP Signups'!$A$5:$B$204,2,FALSE),D12),"Manual",TODAY(),TODAY())),0,IF(F12="",0,F12)))))</x:f>
      </x:c>
      <x:c r="H12" s="19" t="str">
        <x:f>IF(A12="","",SWITCH(C12,"Daily",TODAY()+1,"Weekly",IFERROR(VLOOKUP(A12,'VIP Signups'!$A$5:$B$204,2,FALSE)+CEILING((TODAY()-VLOOKUP(A12,'VIP Signups'!$A$5:$B$204,2,FALSE)+1)/7,1)*7,D12+7),"Monthly",IFERROR(EDATE(VLOOKUP(A12,'VIP Signups'!$A$5:$B$204,2,FALSE),DATEDIF(VLOOKUP(A12,'VIP Signups'!$A$5:$B$204,2,FALSE),TODAY(),"M")+1),EDATE(D12,1)),"Quarterly",IFERROR(EDATE(VLOOKUP(A12,'VIP Signups'!$A$5:$B$204,2,FALSE),(INT(DATEDIF(VLOOKUP(A12,'VIP Signups'!$A$5:$B$204,2,FALSE),TODAY(),"M")/3)+1)*3),EDATE(D12,3)),"Yearly",IFERROR(EDATE(VLOOKUP(A12,'VIP Signups'!$A$5:$B$204,2,FALSE),(DATEDIF(VLOOKUP(A12,'VIP Signups'!$A$5:$B$204,2,FALSE),TODAY(),"Y")+1)*12),EDATE(D12,12)),"One-time","Used","Manual","Manual",""))</x:f>
      </x:c>
      <x:c r="I12" s="18" t="str">
        <x:f>IF(A12="","",IF(G12="Manual","Manual",IF(G12&gt;0,"Yes","No")))</x:f>
      </x:c>
      <x:c r="J12" s="18" t="str">
        <x:f>IF(A12="","",B12&amp;": "&amp;IF(I12="Yes","Available ("&amp;G12&amp;"/"&amp;IF(E12="",1,E12)&amp;" left)",IF(I12="Manual","Manual check",IF(ISNUMBER(H12),"0/"&amp;IF(E12="",1,E12)&amp;" left; resets "&amp;TEXT(H12,"yyyy-mm-dd"),"Used"))))</x:f>
      </x:c>
      <x:c r="K12" s="18"/>
      <x:c r="L12" s="18" t="str">
        <x:v>Yes</x:v>
      </x:c>
      <x:c r="M12" s="18" t="str">
        <x:f>IF(A12="","",A12&amp;"|"&amp;B12)</x:f>
      </x:c>
      <x:c r="N12" s="18"/>
    </x:row>
    <x:row r="13">
      <x:c r="A13" s="18"/>
      <x:c r="B13" s="18"/>
      <x:c r="C13" s="18"/>
      <x:c r="D13" s="19"/>
      <x:c r="E13" s="20"/>
      <x:c r="F13" s="20"/>
      <x:c r="G13" s="20" t="str">
        <x:f>IF(A13="","",IF(C13="Manual","Manual",MAX(0,IF(E13="",1,E13)-IF(OR(D13="",D13&lt;SWITCH(C13,"Daily",TODAY(),"Weekly",IFERROR(VLOOKUP(A13,'VIP Signups'!$A$5:$B$204,2,FALSE)+INT((TODAY()-VLOOKUP(A13,'VIP Signups'!$A$5:$B$204,2,FALSE))/7)*7,TODAY()),"Monthly",IFERROR(EDATE(VLOOKUP(A13,'VIP Signups'!$A$5:$B$204,2,FALSE),DATEDIF(VLOOKUP(A13,'VIP Signups'!$A$5:$B$204,2,FALSE),TODAY(),"M")),TODAY()),"Quarterly",IFERROR(EDATE(VLOOKUP(A13,'VIP Signups'!$A$5:$B$204,2,FALSE),INT(DATEDIF(VLOOKUP(A13,'VIP Signups'!$A$5:$B$204,2,FALSE),TODAY(),"M")/3)*3),TODAY()),"Yearly",IFERROR(EDATE(VLOOKUP(A13,'VIP Signups'!$A$5:$B$204,2,FALSE),DATEDIF(VLOOKUP(A13,'VIP Signups'!$A$5:$B$204,2,FALSE),TODAY(),"Y")*12),TODAY()),"One-time",IFERROR(VLOOKUP(A13,'VIP Signups'!$A$5:$B$204,2,FALSE),D13),"Manual",TODAY(),TODAY())),0,IF(F13="",0,F13)))))</x:f>
      </x:c>
      <x:c r="H13" s="19" t="str">
        <x:f>IF(A13="","",SWITCH(C13,"Daily",TODAY()+1,"Weekly",IFERROR(VLOOKUP(A13,'VIP Signups'!$A$5:$B$204,2,FALSE)+CEILING((TODAY()-VLOOKUP(A13,'VIP Signups'!$A$5:$B$204,2,FALSE)+1)/7,1)*7,D13+7),"Monthly",IFERROR(EDATE(VLOOKUP(A13,'VIP Signups'!$A$5:$B$204,2,FALSE),DATEDIF(VLOOKUP(A13,'VIP Signups'!$A$5:$B$204,2,FALSE),TODAY(),"M")+1),EDATE(D13,1)),"Quarterly",IFERROR(EDATE(VLOOKUP(A13,'VIP Signups'!$A$5:$B$204,2,FALSE),(INT(DATEDIF(VLOOKUP(A13,'VIP Signups'!$A$5:$B$204,2,FALSE),TODAY(),"M")/3)+1)*3),EDATE(D13,3)),"Yearly",IFERROR(EDATE(VLOOKUP(A13,'VIP Signups'!$A$5:$B$204,2,FALSE),(DATEDIF(VLOOKUP(A13,'VIP Signups'!$A$5:$B$204,2,FALSE),TODAY(),"Y")+1)*12),EDATE(D13,12)),"One-time","Used","Manual","Manual",""))</x:f>
      </x:c>
      <x:c r="I13" s="18" t="str">
        <x:f>IF(A13="","",IF(G13="Manual","Manual",IF(G13&gt;0,"Yes","No")))</x:f>
      </x:c>
      <x:c r="J13" s="18" t="str">
        <x:f>IF(A13="","",B13&amp;": "&amp;IF(I13="Yes","Available ("&amp;G13&amp;"/"&amp;IF(E13="",1,E13)&amp;" left)",IF(I13="Manual","Manual check",IF(ISNUMBER(H13),"0/"&amp;IF(E13="",1,E13)&amp;" left; resets "&amp;TEXT(H13,"yyyy-mm-dd"),"Used"))))</x:f>
      </x:c>
      <x:c r="K13" s="18"/>
      <x:c r="L13" s="18" t="str">
        <x:v>Yes</x:v>
      </x:c>
      <x:c r="M13" s="18" t="str">
        <x:f>IF(A13="","",A13&amp;"|"&amp;B13)</x:f>
      </x:c>
      <x:c r="N13" s="18"/>
    </x:row>
    <x:row r="14">
      <x:c r="A14" s="18"/>
      <x:c r="B14" s="18"/>
      <x:c r="C14" s="18"/>
      <x:c r="D14" s="19"/>
      <x:c r="E14" s="20"/>
      <x:c r="F14" s="20"/>
      <x:c r="G14" s="20" t="str">
        <x:f>IF(A14="","",IF(C14="Manual","Manual",MAX(0,IF(E14="",1,E14)-IF(OR(D14="",D14&lt;SWITCH(C14,"Daily",TODAY(),"Weekly",IFERROR(VLOOKUP(A14,'VIP Signups'!$A$5:$B$204,2,FALSE)+INT((TODAY()-VLOOKUP(A14,'VIP Signups'!$A$5:$B$204,2,FALSE))/7)*7,TODAY()),"Monthly",IFERROR(EDATE(VLOOKUP(A14,'VIP Signups'!$A$5:$B$204,2,FALSE),DATEDIF(VLOOKUP(A14,'VIP Signups'!$A$5:$B$204,2,FALSE),TODAY(),"M")),TODAY()),"Quarterly",IFERROR(EDATE(VLOOKUP(A14,'VIP Signups'!$A$5:$B$204,2,FALSE),INT(DATEDIF(VLOOKUP(A14,'VIP Signups'!$A$5:$B$204,2,FALSE),TODAY(),"M")/3)*3),TODAY()),"Yearly",IFERROR(EDATE(VLOOKUP(A14,'VIP Signups'!$A$5:$B$204,2,FALSE),DATEDIF(VLOOKUP(A14,'VIP Signups'!$A$5:$B$204,2,FALSE),TODAY(),"Y")*12),TODAY()),"One-time",IFERROR(VLOOKUP(A14,'VIP Signups'!$A$5:$B$204,2,FALSE),D14),"Manual",TODAY(),TODAY())),0,IF(F14="",0,F14)))))</x:f>
      </x:c>
      <x:c r="H14" s="19" t="str">
        <x:f>IF(A14="","",SWITCH(C14,"Daily",TODAY()+1,"Weekly",IFERROR(VLOOKUP(A14,'VIP Signups'!$A$5:$B$204,2,FALSE)+CEILING((TODAY()-VLOOKUP(A14,'VIP Signups'!$A$5:$B$204,2,FALSE)+1)/7,1)*7,D14+7),"Monthly",IFERROR(EDATE(VLOOKUP(A14,'VIP Signups'!$A$5:$B$204,2,FALSE),DATEDIF(VLOOKUP(A14,'VIP Signups'!$A$5:$B$204,2,FALSE),TODAY(),"M")+1),EDATE(D14,1)),"Quarterly",IFERROR(EDATE(VLOOKUP(A14,'VIP Signups'!$A$5:$B$204,2,FALSE),(INT(DATEDIF(VLOOKUP(A14,'VIP Signups'!$A$5:$B$204,2,FALSE),TODAY(),"M")/3)+1)*3),EDATE(D14,3)),"Yearly",IFERROR(EDATE(VLOOKUP(A14,'VIP Signups'!$A$5:$B$204,2,FALSE),(DATEDIF(VLOOKUP(A14,'VIP Signups'!$A$5:$B$204,2,FALSE),TODAY(),"Y")+1)*12),EDATE(D14,12)),"One-time","Used","Manual","Manual",""))</x:f>
      </x:c>
      <x:c r="I14" s="18" t="str">
        <x:f>IF(A14="","",IF(G14="Manual","Manual",IF(G14&gt;0,"Yes","No")))</x:f>
      </x:c>
      <x:c r="J14" s="18" t="str">
        <x:f>IF(A14="","",B14&amp;": "&amp;IF(I14="Yes","Available ("&amp;G14&amp;"/"&amp;IF(E14="",1,E14)&amp;" left)",IF(I14="Manual","Manual check",IF(ISNUMBER(H14),"0/"&amp;IF(E14="",1,E14)&amp;" left; resets "&amp;TEXT(H14,"yyyy-mm-dd"),"Used"))))</x:f>
      </x:c>
      <x:c r="K14" s="18"/>
      <x:c r="L14" s="18" t="str">
        <x:v>Yes</x:v>
      </x:c>
      <x:c r="M14" s="18" t="str">
        <x:f>IF(A14="","",A14&amp;"|"&amp;B14)</x:f>
      </x:c>
      <x:c r="N14" s="18"/>
    </x:row>
    <x:row r="15">
      <x:c r="A15" s="18"/>
      <x:c r="B15" s="18"/>
      <x:c r="C15" s="18"/>
      <x:c r="D15" s="19"/>
      <x:c r="E15" s="20"/>
      <x:c r="F15" s="20"/>
      <x:c r="G15" s="20" t="str">
        <x:f>IF(A15="","",IF(C15="Manual","Manual",MAX(0,IF(E15="",1,E15)-IF(OR(D15="",D15&lt;SWITCH(C15,"Daily",TODAY(),"Weekly",IFERROR(VLOOKUP(A15,'VIP Signups'!$A$5:$B$204,2,FALSE)+INT((TODAY()-VLOOKUP(A15,'VIP Signups'!$A$5:$B$204,2,FALSE))/7)*7,TODAY()),"Monthly",IFERROR(EDATE(VLOOKUP(A15,'VIP Signups'!$A$5:$B$204,2,FALSE),DATEDIF(VLOOKUP(A15,'VIP Signups'!$A$5:$B$204,2,FALSE),TODAY(),"M")),TODAY()),"Quarterly",IFERROR(EDATE(VLOOKUP(A15,'VIP Signups'!$A$5:$B$204,2,FALSE),INT(DATEDIF(VLOOKUP(A15,'VIP Signups'!$A$5:$B$204,2,FALSE),TODAY(),"M")/3)*3),TODAY()),"Yearly",IFERROR(EDATE(VLOOKUP(A15,'VIP Signups'!$A$5:$B$204,2,FALSE),DATEDIF(VLOOKUP(A15,'VIP Signups'!$A$5:$B$204,2,FALSE),TODAY(),"Y")*12),TODAY()),"One-time",IFERROR(VLOOKUP(A15,'VIP Signups'!$A$5:$B$204,2,FALSE),D15),"Manual",TODAY(),TODAY())),0,IF(F15="",0,F15)))))</x:f>
      </x:c>
      <x:c r="H15" s="19" t="str">
        <x:f>IF(A15="","",SWITCH(C15,"Daily",TODAY()+1,"Weekly",IFERROR(VLOOKUP(A15,'VIP Signups'!$A$5:$B$204,2,FALSE)+CEILING((TODAY()-VLOOKUP(A15,'VIP Signups'!$A$5:$B$204,2,FALSE)+1)/7,1)*7,D15+7),"Monthly",IFERROR(EDATE(VLOOKUP(A15,'VIP Signups'!$A$5:$B$204,2,FALSE),DATEDIF(VLOOKUP(A15,'VIP Signups'!$A$5:$B$204,2,FALSE),TODAY(),"M")+1),EDATE(D15,1)),"Quarterly",IFERROR(EDATE(VLOOKUP(A15,'VIP Signups'!$A$5:$B$204,2,FALSE),(INT(DATEDIF(VLOOKUP(A15,'VIP Signups'!$A$5:$B$204,2,FALSE),TODAY(),"M")/3)+1)*3),EDATE(D15,3)),"Yearly",IFERROR(EDATE(VLOOKUP(A15,'VIP Signups'!$A$5:$B$204,2,FALSE),(DATEDIF(VLOOKUP(A15,'VIP Signups'!$A$5:$B$204,2,FALSE),TODAY(),"Y")+1)*12),EDATE(D15,12)),"One-time","Used","Manual","Manual",""))</x:f>
      </x:c>
      <x:c r="I15" s="18" t="str">
        <x:f>IF(A15="","",IF(G15="Manual","Manual",IF(G15&gt;0,"Yes","No")))</x:f>
      </x:c>
      <x:c r="J15" s="18" t="str">
        <x:f>IF(A15="","",B15&amp;": "&amp;IF(I15="Yes","Available ("&amp;G15&amp;"/"&amp;IF(E15="",1,E15)&amp;" left)",IF(I15="Manual","Manual check",IF(ISNUMBER(H15),"0/"&amp;IF(E15="",1,E15)&amp;" left; resets "&amp;TEXT(H15,"yyyy-mm-dd"),"Used"))))</x:f>
      </x:c>
      <x:c r="K15" s="18"/>
      <x:c r="L15" s="18" t="str">
        <x:v>Yes</x:v>
      </x:c>
      <x:c r="M15" s="18" t="str">
        <x:f>IF(A15="","",A15&amp;"|"&amp;B15)</x:f>
      </x:c>
      <x:c r="N15" s="18"/>
    </x:row>
    <x:row r="16">
      <x:c r="A16" s="18"/>
      <x:c r="B16" s="18"/>
      <x:c r="C16" s="18"/>
      <x:c r="D16" s="19"/>
      <x:c r="E16" s="20"/>
      <x:c r="F16" s="20"/>
      <x:c r="G16" s="20" t="str">
        <x:f>IF(A16="","",IF(C16="Manual","Manual",MAX(0,IF(E16="",1,E16)-IF(OR(D16="",D16&lt;SWITCH(C16,"Daily",TODAY(),"Weekly",IFERROR(VLOOKUP(A16,'VIP Signups'!$A$5:$B$204,2,FALSE)+INT((TODAY()-VLOOKUP(A16,'VIP Signups'!$A$5:$B$204,2,FALSE))/7)*7,TODAY()),"Monthly",IFERROR(EDATE(VLOOKUP(A16,'VIP Signups'!$A$5:$B$204,2,FALSE),DATEDIF(VLOOKUP(A16,'VIP Signups'!$A$5:$B$204,2,FALSE),TODAY(),"M")),TODAY()),"Quarterly",IFERROR(EDATE(VLOOKUP(A16,'VIP Signups'!$A$5:$B$204,2,FALSE),INT(DATEDIF(VLOOKUP(A16,'VIP Signups'!$A$5:$B$204,2,FALSE),TODAY(),"M")/3)*3),TODAY()),"Yearly",IFERROR(EDATE(VLOOKUP(A16,'VIP Signups'!$A$5:$B$204,2,FALSE),DATEDIF(VLOOKUP(A16,'VIP Signups'!$A$5:$B$204,2,FALSE),TODAY(),"Y")*12),TODAY()),"One-time",IFERROR(VLOOKUP(A16,'VIP Signups'!$A$5:$B$204,2,FALSE),D16),"Manual",TODAY(),TODAY())),0,IF(F16="",0,F16)))))</x:f>
      </x:c>
      <x:c r="H16" s="19" t="str">
        <x:f>IF(A16="","",SWITCH(C16,"Daily",TODAY()+1,"Weekly",IFERROR(VLOOKUP(A16,'VIP Signups'!$A$5:$B$204,2,FALSE)+CEILING((TODAY()-VLOOKUP(A16,'VIP Signups'!$A$5:$B$204,2,FALSE)+1)/7,1)*7,D16+7),"Monthly",IFERROR(EDATE(VLOOKUP(A16,'VIP Signups'!$A$5:$B$204,2,FALSE),DATEDIF(VLOOKUP(A16,'VIP Signups'!$A$5:$B$204,2,FALSE),TODAY(),"M")+1),EDATE(D16,1)),"Quarterly",IFERROR(EDATE(VLOOKUP(A16,'VIP Signups'!$A$5:$B$204,2,FALSE),(INT(DATEDIF(VLOOKUP(A16,'VIP Signups'!$A$5:$B$204,2,FALSE),TODAY(),"M")/3)+1)*3),EDATE(D16,3)),"Yearly",IFERROR(EDATE(VLOOKUP(A16,'VIP Signups'!$A$5:$B$204,2,FALSE),(DATEDIF(VLOOKUP(A16,'VIP Signups'!$A$5:$B$204,2,FALSE),TODAY(),"Y")+1)*12),EDATE(D16,12)),"One-time","Used","Manual","Manual",""))</x:f>
      </x:c>
      <x:c r="I16" s="18" t="str">
        <x:f>IF(A16="","",IF(G16="Manual","Manual",IF(G16&gt;0,"Yes","No")))</x:f>
      </x:c>
      <x:c r="J16" s="18" t="str">
        <x:f>IF(A16="","",B16&amp;": "&amp;IF(I16="Yes","Available ("&amp;G16&amp;"/"&amp;IF(E16="",1,E16)&amp;" left)",IF(I16="Manual","Manual check",IF(ISNUMBER(H16),"0/"&amp;IF(E16="",1,E16)&amp;" left; resets "&amp;TEXT(H16,"yyyy-mm-dd"),"Used"))))</x:f>
      </x:c>
      <x:c r="K16" s="18"/>
      <x:c r="L16" s="18" t="str">
        <x:v>Yes</x:v>
      </x:c>
      <x:c r="M16" s="18" t="str">
        <x:f>IF(A16="","",A16&amp;"|"&amp;B16)</x:f>
      </x:c>
      <x:c r="N16" s="18"/>
    </x:row>
    <x:row r="17">
      <x:c r="A17" s="18"/>
      <x:c r="B17" s="18"/>
      <x:c r="C17" s="18"/>
      <x:c r="D17" s="19"/>
      <x:c r="E17" s="20"/>
      <x:c r="F17" s="20"/>
      <x:c r="G17" s="20" t="str">
        <x:f>IF(A17="","",IF(C17="Manual","Manual",MAX(0,IF(E17="",1,E17)-IF(OR(D17="",D17&lt;SWITCH(C17,"Daily",TODAY(),"Weekly",IFERROR(VLOOKUP(A17,'VIP Signups'!$A$5:$B$204,2,FALSE)+INT((TODAY()-VLOOKUP(A17,'VIP Signups'!$A$5:$B$204,2,FALSE))/7)*7,TODAY()),"Monthly",IFERROR(EDATE(VLOOKUP(A17,'VIP Signups'!$A$5:$B$204,2,FALSE),DATEDIF(VLOOKUP(A17,'VIP Signups'!$A$5:$B$204,2,FALSE),TODAY(),"M")),TODAY()),"Quarterly",IFERROR(EDATE(VLOOKUP(A17,'VIP Signups'!$A$5:$B$204,2,FALSE),INT(DATEDIF(VLOOKUP(A17,'VIP Signups'!$A$5:$B$204,2,FALSE),TODAY(),"M")/3)*3),TODAY()),"Yearly",IFERROR(EDATE(VLOOKUP(A17,'VIP Signups'!$A$5:$B$204,2,FALSE),DATEDIF(VLOOKUP(A17,'VIP Signups'!$A$5:$B$204,2,FALSE),TODAY(),"Y")*12),TODAY()),"One-time",IFERROR(VLOOKUP(A17,'VIP Signups'!$A$5:$B$204,2,FALSE),D17),"Manual",TODAY(),TODAY())),0,IF(F17="",0,F17)))))</x:f>
      </x:c>
      <x:c r="H17" s="19" t="str">
        <x:f>IF(A17="","",SWITCH(C17,"Daily",TODAY()+1,"Weekly",IFERROR(VLOOKUP(A17,'VIP Signups'!$A$5:$B$204,2,FALSE)+CEILING((TODAY()-VLOOKUP(A17,'VIP Signups'!$A$5:$B$204,2,FALSE)+1)/7,1)*7,D17+7),"Monthly",IFERROR(EDATE(VLOOKUP(A17,'VIP Signups'!$A$5:$B$204,2,FALSE),DATEDIF(VLOOKUP(A17,'VIP Signups'!$A$5:$B$204,2,FALSE),TODAY(),"M")+1),EDATE(D17,1)),"Quarterly",IFERROR(EDATE(VLOOKUP(A17,'VIP Signups'!$A$5:$B$204,2,FALSE),(INT(DATEDIF(VLOOKUP(A17,'VIP Signups'!$A$5:$B$204,2,FALSE),TODAY(),"M")/3)+1)*3),EDATE(D17,3)),"Yearly",IFERROR(EDATE(VLOOKUP(A17,'VIP Signups'!$A$5:$B$204,2,FALSE),(DATEDIF(VLOOKUP(A17,'VIP Signups'!$A$5:$B$204,2,FALSE),TODAY(),"Y")+1)*12),EDATE(D17,12)),"One-time","Used","Manual","Manual",""))</x:f>
      </x:c>
      <x:c r="I17" s="18" t="str">
        <x:f>IF(A17="","",IF(G17="Manual","Manual",IF(G17&gt;0,"Yes","No")))</x:f>
      </x:c>
      <x:c r="J17" s="18" t="str">
        <x:f>IF(A17="","",B17&amp;": "&amp;IF(I17="Yes","Available ("&amp;G17&amp;"/"&amp;IF(E17="",1,E17)&amp;" left)",IF(I17="Manual","Manual check",IF(ISNUMBER(H17),"0/"&amp;IF(E17="",1,E17)&amp;" left; resets "&amp;TEXT(H17,"yyyy-mm-dd"),"Used"))))</x:f>
      </x:c>
      <x:c r="K17" s="18"/>
      <x:c r="L17" s="18" t="str">
        <x:v>Yes</x:v>
      </x:c>
      <x:c r="M17" s="18" t="str">
        <x:f>IF(A17="","",A17&amp;"|"&amp;B17)</x:f>
      </x:c>
      <x:c r="N17" s="18"/>
    </x:row>
    <x:row r="18">
      <x:c r="A18" s="18"/>
      <x:c r="B18" s="18"/>
      <x:c r="C18" s="18"/>
      <x:c r="D18" s="19"/>
      <x:c r="E18" s="20"/>
      <x:c r="F18" s="20"/>
      <x:c r="G18" s="20" t="str">
        <x:f>IF(A18="","",IF(C18="Manual","Manual",MAX(0,IF(E18="",1,E18)-IF(OR(D18="",D18&lt;SWITCH(C18,"Daily",TODAY(),"Weekly",IFERROR(VLOOKUP(A18,'VIP Signups'!$A$5:$B$204,2,FALSE)+INT((TODAY()-VLOOKUP(A18,'VIP Signups'!$A$5:$B$204,2,FALSE))/7)*7,TODAY()),"Monthly",IFERROR(EDATE(VLOOKUP(A18,'VIP Signups'!$A$5:$B$204,2,FALSE),DATEDIF(VLOOKUP(A18,'VIP Signups'!$A$5:$B$204,2,FALSE),TODAY(),"M")),TODAY()),"Quarterly",IFERROR(EDATE(VLOOKUP(A18,'VIP Signups'!$A$5:$B$204,2,FALSE),INT(DATEDIF(VLOOKUP(A18,'VIP Signups'!$A$5:$B$204,2,FALSE),TODAY(),"M")/3)*3),TODAY()),"Yearly",IFERROR(EDATE(VLOOKUP(A18,'VIP Signups'!$A$5:$B$204,2,FALSE),DATEDIF(VLOOKUP(A18,'VIP Signups'!$A$5:$B$204,2,FALSE),TODAY(),"Y")*12),TODAY()),"One-time",IFERROR(VLOOKUP(A18,'VIP Signups'!$A$5:$B$204,2,FALSE),D18),"Manual",TODAY(),TODAY())),0,IF(F18="",0,F18)))))</x:f>
      </x:c>
      <x:c r="H18" s="19" t="str">
        <x:f>IF(A18="","",SWITCH(C18,"Daily",TODAY()+1,"Weekly",IFERROR(VLOOKUP(A18,'VIP Signups'!$A$5:$B$204,2,FALSE)+CEILING((TODAY()-VLOOKUP(A18,'VIP Signups'!$A$5:$B$204,2,FALSE)+1)/7,1)*7,D18+7),"Monthly",IFERROR(EDATE(VLOOKUP(A18,'VIP Signups'!$A$5:$B$204,2,FALSE),DATEDIF(VLOOKUP(A18,'VIP Signups'!$A$5:$B$204,2,FALSE),TODAY(),"M")+1),EDATE(D18,1)),"Quarterly",IFERROR(EDATE(VLOOKUP(A18,'VIP Signups'!$A$5:$B$204,2,FALSE),(INT(DATEDIF(VLOOKUP(A18,'VIP Signups'!$A$5:$B$204,2,FALSE),TODAY(),"M")/3)+1)*3),EDATE(D18,3)),"Yearly",IFERROR(EDATE(VLOOKUP(A18,'VIP Signups'!$A$5:$B$204,2,FALSE),(DATEDIF(VLOOKUP(A18,'VIP Signups'!$A$5:$B$204,2,FALSE),TODAY(),"Y")+1)*12),EDATE(D18,12)),"One-time","Used","Manual","Manual",""))</x:f>
      </x:c>
      <x:c r="I18" s="18" t="str">
        <x:f>IF(A18="","",IF(G18="Manual","Manual",IF(G18&gt;0,"Yes","No")))</x:f>
      </x:c>
      <x:c r="J18" s="18" t="str">
        <x:f>IF(A18="","",B18&amp;": "&amp;IF(I18="Yes","Available ("&amp;G18&amp;"/"&amp;IF(E18="",1,E18)&amp;" left)",IF(I18="Manual","Manual check",IF(ISNUMBER(H18),"0/"&amp;IF(E18="",1,E18)&amp;" left; resets "&amp;TEXT(H18,"yyyy-mm-dd"),"Used"))))</x:f>
      </x:c>
      <x:c r="K18" s="18"/>
      <x:c r="L18" s="18" t="str">
        <x:v>Yes</x:v>
      </x:c>
      <x:c r="M18" s="18" t="str">
        <x:f>IF(A18="","",A18&amp;"|"&amp;B18)</x:f>
      </x:c>
      <x:c r="N18" s="18"/>
    </x:row>
    <x:row r="19">
      <x:c r="A19" s="18"/>
      <x:c r="B19" s="18"/>
      <x:c r="C19" s="18"/>
      <x:c r="D19" s="19"/>
      <x:c r="E19" s="20"/>
      <x:c r="F19" s="20"/>
      <x:c r="G19" s="20" t="str">
        <x:f>IF(A19="","",IF(C19="Manual","Manual",MAX(0,IF(E19="",1,E19)-IF(OR(D19="",D19&lt;SWITCH(C19,"Daily",TODAY(),"Weekly",IFERROR(VLOOKUP(A19,'VIP Signups'!$A$5:$B$204,2,FALSE)+INT((TODAY()-VLOOKUP(A19,'VIP Signups'!$A$5:$B$204,2,FALSE))/7)*7,TODAY()),"Monthly",IFERROR(EDATE(VLOOKUP(A19,'VIP Signups'!$A$5:$B$204,2,FALSE),DATEDIF(VLOOKUP(A19,'VIP Signups'!$A$5:$B$204,2,FALSE),TODAY(),"M")),TODAY()),"Quarterly",IFERROR(EDATE(VLOOKUP(A19,'VIP Signups'!$A$5:$B$204,2,FALSE),INT(DATEDIF(VLOOKUP(A19,'VIP Signups'!$A$5:$B$204,2,FALSE),TODAY(),"M")/3)*3),TODAY()),"Yearly",IFERROR(EDATE(VLOOKUP(A19,'VIP Signups'!$A$5:$B$204,2,FALSE),DATEDIF(VLOOKUP(A19,'VIP Signups'!$A$5:$B$204,2,FALSE),TODAY(),"Y")*12),TODAY()),"One-time",IFERROR(VLOOKUP(A19,'VIP Signups'!$A$5:$B$204,2,FALSE),D19),"Manual",TODAY(),TODAY())),0,IF(F19="",0,F19)))))</x:f>
      </x:c>
      <x:c r="H19" s="19" t="str">
        <x:f>IF(A19="","",SWITCH(C19,"Daily",TODAY()+1,"Weekly",IFERROR(VLOOKUP(A19,'VIP Signups'!$A$5:$B$204,2,FALSE)+CEILING((TODAY()-VLOOKUP(A19,'VIP Signups'!$A$5:$B$204,2,FALSE)+1)/7,1)*7,D19+7),"Monthly",IFERROR(EDATE(VLOOKUP(A19,'VIP Signups'!$A$5:$B$204,2,FALSE),DATEDIF(VLOOKUP(A19,'VIP Signups'!$A$5:$B$204,2,FALSE),TODAY(),"M")+1),EDATE(D19,1)),"Quarterly",IFERROR(EDATE(VLOOKUP(A19,'VIP Signups'!$A$5:$B$204,2,FALSE),(INT(DATEDIF(VLOOKUP(A19,'VIP Signups'!$A$5:$B$204,2,FALSE),TODAY(),"M")/3)+1)*3),EDATE(D19,3)),"Yearly",IFERROR(EDATE(VLOOKUP(A19,'VIP Signups'!$A$5:$B$204,2,FALSE),(DATEDIF(VLOOKUP(A19,'VIP Signups'!$A$5:$B$204,2,FALSE),TODAY(),"Y")+1)*12),EDATE(D19,12)),"One-time","Used","Manual","Manual",""))</x:f>
      </x:c>
      <x:c r="I19" s="18" t="str">
        <x:f>IF(A19="","",IF(G19="Manual","Manual",IF(G19&gt;0,"Yes","No")))</x:f>
      </x:c>
      <x:c r="J19" s="18" t="str">
        <x:f>IF(A19="","",B19&amp;": "&amp;IF(I19="Yes","Available ("&amp;G19&amp;"/"&amp;IF(E19="",1,E19)&amp;" left)",IF(I19="Manual","Manual check",IF(ISNUMBER(H19),"0/"&amp;IF(E19="",1,E19)&amp;" left; resets "&amp;TEXT(H19,"yyyy-mm-dd"),"Used"))))</x:f>
      </x:c>
      <x:c r="K19" s="18"/>
      <x:c r="L19" s="18" t="str">
        <x:v>Yes</x:v>
      </x:c>
      <x:c r="M19" s="18" t="str">
        <x:f>IF(A19="","",A19&amp;"|"&amp;B19)</x:f>
      </x:c>
      <x:c r="N19" s="18"/>
    </x:row>
    <x:row r="20">
      <x:c r="A20" s="18"/>
      <x:c r="B20" s="18"/>
      <x:c r="C20" s="18"/>
      <x:c r="D20" s="19"/>
      <x:c r="E20" s="20"/>
      <x:c r="F20" s="20"/>
      <x:c r="G20" s="20" t="str">
        <x:f>IF(A20="","",IF(C20="Manual","Manual",MAX(0,IF(E20="",1,E20)-IF(OR(D20="",D20&lt;SWITCH(C20,"Daily",TODAY(),"Weekly",IFERROR(VLOOKUP(A20,'VIP Signups'!$A$5:$B$204,2,FALSE)+INT((TODAY()-VLOOKUP(A20,'VIP Signups'!$A$5:$B$204,2,FALSE))/7)*7,TODAY()),"Monthly",IFERROR(EDATE(VLOOKUP(A20,'VIP Signups'!$A$5:$B$204,2,FALSE),DATEDIF(VLOOKUP(A20,'VIP Signups'!$A$5:$B$204,2,FALSE),TODAY(),"M")),TODAY()),"Quarterly",IFERROR(EDATE(VLOOKUP(A20,'VIP Signups'!$A$5:$B$204,2,FALSE),INT(DATEDIF(VLOOKUP(A20,'VIP Signups'!$A$5:$B$204,2,FALSE),TODAY(),"M")/3)*3),TODAY()),"Yearly",IFERROR(EDATE(VLOOKUP(A20,'VIP Signups'!$A$5:$B$204,2,FALSE),DATEDIF(VLOOKUP(A20,'VIP Signups'!$A$5:$B$204,2,FALSE),TODAY(),"Y")*12),TODAY()),"One-time",IFERROR(VLOOKUP(A20,'VIP Signups'!$A$5:$B$204,2,FALSE),D20),"Manual",TODAY(),TODAY())),0,IF(F20="",0,F20)))))</x:f>
      </x:c>
      <x:c r="H20" s="19" t="str">
        <x:f>IF(A20="","",SWITCH(C20,"Daily",TODAY()+1,"Weekly",IFERROR(VLOOKUP(A20,'VIP Signups'!$A$5:$B$204,2,FALSE)+CEILING((TODAY()-VLOOKUP(A20,'VIP Signups'!$A$5:$B$204,2,FALSE)+1)/7,1)*7,D20+7),"Monthly",IFERROR(EDATE(VLOOKUP(A20,'VIP Signups'!$A$5:$B$204,2,FALSE),DATEDIF(VLOOKUP(A20,'VIP Signups'!$A$5:$B$204,2,FALSE),TODAY(),"M")+1),EDATE(D20,1)),"Quarterly",IFERROR(EDATE(VLOOKUP(A20,'VIP Signups'!$A$5:$B$204,2,FALSE),(INT(DATEDIF(VLOOKUP(A20,'VIP Signups'!$A$5:$B$204,2,FALSE),TODAY(),"M")/3)+1)*3),EDATE(D20,3)),"Yearly",IFERROR(EDATE(VLOOKUP(A20,'VIP Signups'!$A$5:$B$204,2,FALSE),(DATEDIF(VLOOKUP(A20,'VIP Signups'!$A$5:$B$204,2,FALSE),TODAY(),"Y")+1)*12),EDATE(D20,12)),"One-time","Used","Manual","Manual",""))</x:f>
      </x:c>
      <x:c r="I20" s="18" t="str">
        <x:f>IF(A20="","",IF(G20="Manual","Manual",IF(G20&gt;0,"Yes","No")))</x:f>
      </x:c>
      <x:c r="J20" s="18" t="str">
        <x:f>IF(A20="","",B20&amp;": "&amp;IF(I20="Yes","Available ("&amp;G20&amp;"/"&amp;IF(E20="",1,E20)&amp;" left)",IF(I20="Manual","Manual check",IF(ISNUMBER(H20),"0/"&amp;IF(E20="",1,E20)&amp;" left; resets "&amp;TEXT(H20,"yyyy-mm-dd"),"Used"))))</x:f>
      </x:c>
      <x:c r="K20" s="18"/>
      <x:c r="L20" s="18" t="str">
        <x:v>Yes</x:v>
      </x:c>
      <x:c r="M20" s="18" t="str">
        <x:f>IF(A20="","",A20&amp;"|"&amp;B20)</x:f>
      </x:c>
      <x:c r="N20" s="18"/>
    </x:row>
    <x:row r="21">
      <x:c r="A21" s="18"/>
      <x:c r="B21" s="18"/>
      <x:c r="C21" s="18"/>
      <x:c r="D21" s="19"/>
      <x:c r="E21" s="20"/>
      <x:c r="F21" s="20"/>
      <x:c r="G21" s="20" t="str">
        <x:f>IF(A21="","",IF(C21="Manual","Manual",MAX(0,IF(E21="",1,E21)-IF(OR(D21="",D21&lt;SWITCH(C21,"Daily",TODAY(),"Weekly",IFERROR(VLOOKUP(A21,'VIP Signups'!$A$5:$B$204,2,FALSE)+INT((TODAY()-VLOOKUP(A21,'VIP Signups'!$A$5:$B$204,2,FALSE))/7)*7,TODAY()),"Monthly",IFERROR(EDATE(VLOOKUP(A21,'VIP Signups'!$A$5:$B$204,2,FALSE),DATEDIF(VLOOKUP(A21,'VIP Signups'!$A$5:$B$204,2,FALSE),TODAY(),"M")),TODAY()),"Quarterly",IFERROR(EDATE(VLOOKUP(A21,'VIP Signups'!$A$5:$B$204,2,FALSE),INT(DATEDIF(VLOOKUP(A21,'VIP Signups'!$A$5:$B$204,2,FALSE),TODAY(),"M")/3)*3),TODAY()),"Yearly",IFERROR(EDATE(VLOOKUP(A21,'VIP Signups'!$A$5:$B$204,2,FALSE),DATEDIF(VLOOKUP(A21,'VIP Signups'!$A$5:$B$204,2,FALSE),TODAY(),"Y")*12),TODAY()),"One-time",IFERROR(VLOOKUP(A21,'VIP Signups'!$A$5:$B$204,2,FALSE),D21),"Manual",TODAY(),TODAY())),0,IF(F21="",0,F21)))))</x:f>
      </x:c>
      <x:c r="H21" s="19" t="str">
        <x:f>IF(A21="","",SWITCH(C21,"Daily",TODAY()+1,"Weekly",IFERROR(VLOOKUP(A21,'VIP Signups'!$A$5:$B$204,2,FALSE)+CEILING((TODAY()-VLOOKUP(A21,'VIP Signups'!$A$5:$B$204,2,FALSE)+1)/7,1)*7,D21+7),"Monthly",IFERROR(EDATE(VLOOKUP(A21,'VIP Signups'!$A$5:$B$204,2,FALSE),DATEDIF(VLOOKUP(A21,'VIP Signups'!$A$5:$B$204,2,FALSE),TODAY(),"M")+1),EDATE(D21,1)),"Quarterly",IFERROR(EDATE(VLOOKUP(A21,'VIP Signups'!$A$5:$B$204,2,FALSE),(INT(DATEDIF(VLOOKUP(A21,'VIP Signups'!$A$5:$B$204,2,FALSE),TODAY(),"M")/3)+1)*3),EDATE(D21,3)),"Yearly",IFERROR(EDATE(VLOOKUP(A21,'VIP Signups'!$A$5:$B$204,2,FALSE),(DATEDIF(VLOOKUP(A21,'VIP Signups'!$A$5:$B$204,2,FALSE),TODAY(),"Y")+1)*12),EDATE(D21,12)),"One-time","Used","Manual","Manual",""))</x:f>
      </x:c>
      <x:c r="I21" s="18" t="str">
        <x:f>IF(A21="","",IF(G21="Manual","Manual",IF(G21&gt;0,"Yes","No")))</x:f>
      </x:c>
      <x:c r="J21" s="18" t="str">
        <x:f>IF(A21="","",B21&amp;": "&amp;IF(I21="Yes","Available ("&amp;G21&amp;"/"&amp;IF(E21="",1,E21)&amp;" left)",IF(I21="Manual","Manual check",IF(ISNUMBER(H21),"0/"&amp;IF(E21="",1,E21)&amp;" left; resets "&amp;TEXT(H21,"yyyy-mm-dd"),"Used"))))</x:f>
      </x:c>
      <x:c r="K21" s="18"/>
      <x:c r="L21" s="18" t="str">
        <x:v>Yes</x:v>
      </x:c>
      <x:c r="M21" s="18" t="str">
        <x:f>IF(A21="","",A21&amp;"|"&amp;B21)</x:f>
      </x:c>
      <x:c r="N21" s="18"/>
    </x:row>
    <x:row r="22">
      <x:c r="A22" s="18"/>
      <x:c r="B22" s="18"/>
      <x:c r="C22" s="18"/>
      <x:c r="D22" s="19"/>
      <x:c r="E22" s="20"/>
      <x:c r="F22" s="20"/>
      <x:c r="G22" s="20" t="str">
        <x:f>IF(A22="","",IF(C22="Manual","Manual",MAX(0,IF(E22="",1,E22)-IF(OR(D22="",D22&lt;SWITCH(C22,"Daily",TODAY(),"Weekly",IFERROR(VLOOKUP(A22,'VIP Signups'!$A$5:$B$204,2,FALSE)+INT((TODAY()-VLOOKUP(A22,'VIP Signups'!$A$5:$B$204,2,FALSE))/7)*7,TODAY()),"Monthly",IFERROR(EDATE(VLOOKUP(A22,'VIP Signups'!$A$5:$B$204,2,FALSE),DATEDIF(VLOOKUP(A22,'VIP Signups'!$A$5:$B$204,2,FALSE),TODAY(),"M")),TODAY()),"Quarterly",IFERROR(EDATE(VLOOKUP(A22,'VIP Signups'!$A$5:$B$204,2,FALSE),INT(DATEDIF(VLOOKUP(A22,'VIP Signups'!$A$5:$B$204,2,FALSE),TODAY(),"M")/3)*3),TODAY()),"Yearly",IFERROR(EDATE(VLOOKUP(A22,'VIP Signups'!$A$5:$B$204,2,FALSE),DATEDIF(VLOOKUP(A22,'VIP Signups'!$A$5:$B$204,2,FALSE),TODAY(),"Y")*12),TODAY()),"One-time",IFERROR(VLOOKUP(A22,'VIP Signups'!$A$5:$B$204,2,FALSE),D22),"Manual",TODAY(),TODAY())),0,IF(F22="",0,F22)))))</x:f>
      </x:c>
      <x:c r="H22" s="19" t="str">
        <x:f>IF(A22="","",SWITCH(C22,"Daily",TODAY()+1,"Weekly",IFERROR(VLOOKUP(A22,'VIP Signups'!$A$5:$B$204,2,FALSE)+CEILING((TODAY()-VLOOKUP(A22,'VIP Signups'!$A$5:$B$204,2,FALSE)+1)/7,1)*7,D22+7),"Monthly",IFERROR(EDATE(VLOOKUP(A22,'VIP Signups'!$A$5:$B$204,2,FALSE),DATEDIF(VLOOKUP(A22,'VIP Signups'!$A$5:$B$204,2,FALSE),TODAY(),"M")+1),EDATE(D22,1)),"Quarterly",IFERROR(EDATE(VLOOKUP(A22,'VIP Signups'!$A$5:$B$204,2,FALSE),(INT(DATEDIF(VLOOKUP(A22,'VIP Signups'!$A$5:$B$204,2,FALSE),TODAY(),"M")/3)+1)*3),EDATE(D22,3)),"Yearly",IFERROR(EDATE(VLOOKUP(A22,'VIP Signups'!$A$5:$B$204,2,FALSE),(DATEDIF(VLOOKUP(A22,'VIP Signups'!$A$5:$B$204,2,FALSE),TODAY(),"Y")+1)*12),EDATE(D22,12)),"One-time","Used","Manual","Manual",""))</x:f>
      </x:c>
      <x:c r="I22" s="18" t="str">
        <x:f>IF(A22="","",IF(G22="Manual","Manual",IF(G22&gt;0,"Yes","No")))</x:f>
      </x:c>
      <x:c r="J22" s="18" t="str">
        <x:f>IF(A22="","",B22&amp;": "&amp;IF(I22="Yes","Available ("&amp;G22&amp;"/"&amp;IF(E22="",1,E22)&amp;" left)",IF(I22="Manual","Manual check",IF(ISNUMBER(H22),"0/"&amp;IF(E22="",1,E22)&amp;" left; resets "&amp;TEXT(H22,"yyyy-mm-dd"),"Used"))))</x:f>
      </x:c>
      <x:c r="K22" s="18"/>
      <x:c r="L22" s="18" t="str">
        <x:v>Yes</x:v>
      </x:c>
      <x:c r="M22" s="18" t="str">
        <x:f>IF(A22="","",A22&amp;"|"&amp;B22)</x:f>
      </x:c>
      <x:c r="N22" s="18"/>
    </x:row>
    <x:row r="23">
      <x:c r="A23" s="18"/>
      <x:c r="B23" s="18"/>
      <x:c r="C23" s="18"/>
      <x:c r="D23" s="19"/>
      <x:c r="E23" s="20"/>
      <x:c r="F23" s="20"/>
      <x:c r="G23" s="20" t="str">
        <x:f>IF(A23="","",IF(C23="Manual","Manual",MAX(0,IF(E23="",1,E23)-IF(OR(D23="",D23&lt;SWITCH(C23,"Daily",TODAY(),"Weekly",IFERROR(VLOOKUP(A23,'VIP Signups'!$A$5:$B$204,2,FALSE)+INT((TODAY()-VLOOKUP(A23,'VIP Signups'!$A$5:$B$204,2,FALSE))/7)*7,TODAY()),"Monthly",IFERROR(EDATE(VLOOKUP(A23,'VIP Signups'!$A$5:$B$204,2,FALSE),DATEDIF(VLOOKUP(A23,'VIP Signups'!$A$5:$B$204,2,FALSE),TODAY(),"M")),TODAY()),"Quarterly",IFERROR(EDATE(VLOOKUP(A23,'VIP Signups'!$A$5:$B$204,2,FALSE),INT(DATEDIF(VLOOKUP(A23,'VIP Signups'!$A$5:$B$204,2,FALSE),TODAY(),"M")/3)*3),TODAY()),"Yearly",IFERROR(EDATE(VLOOKUP(A23,'VIP Signups'!$A$5:$B$204,2,FALSE),DATEDIF(VLOOKUP(A23,'VIP Signups'!$A$5:$B$204,2,FALSE),TODAY(),"Y")*12),TODAY()),"One-time",IFERROR(VLOOKUP(A23,'VIP Signups'!$A$5:$B$204,2,FALSE),D23),"Manual",TODAY(),TODAY())),0,IF(F23="",0,F23)))))</x:f>
      </x:c>
      <x:c r="H23" s="19" t="str">
        <x:f>IF(A23="","",SWITCH(C23,"Daily",TODAY()+1,"Weekly",IFERROR(VLOOKUP(A23,'VIP Signups'!$A$5:$B$204,2,FALSE)+CEILING((TODAY()-VLOOKUP(A23,'VIP Signups'!$A$5:$B$204,2,FALSE)+1)/7,1)*7,D23+7),"Monthly",IFERROR(EDATE(VLOOKUP(A23,'VIP Signups'!$A$5:$B$204,2,FALSE),DATEDIF(VLOOKUP(A23,'VIP Signups'!$A$5:$B$204,2,FALSE),TODAY(),"M")+1),EDATE(D23,1)),"Quarterly",IFERROR(EDATE(VLOOKUP(A23,'VIP Signups'!$A$5:$B$204,2,FALSE),(INT(DATEDIF(VLOOKUP(A23,'VIP Signups'!$A$5:$B$204,2,FALSE),TODAY(),"M")/3)+1)*3),EDATE(D23,3)),"Yearly",IFERROR(EDATE(VLOOKUP(A23,'VIP Signups'!$A$5:$B$204,2,FALSE),(DATEDIF(VLOOKUP(A23,'VIP Signups'!$A$5:$B$204,2,FALSE),TODAY(),"Y")+1)*12),EDATE(D23,12)),"One-time","Used","Manual","Manual",""))</x:f>
      </x:c>
      <x:c r="I23" s="18" t="str">
        <x:f>IF(A23="","",IF(G23="Manual","Manual",IF(G23&gt;0,"Yes","No")))</x:f>
      </x:c>
      <x:c r="J23" s="18" t="str">
        <x:f>IF(A23="","",B23&amp;": "&amp;IF(I23="Yes","Available ("&amp;G23&amp;"/"&amp;IF(E23="",1,E23)&amp;" left)",IF(I23="Manual","Manual check",IF(ISNUMBER(H23),"0/"&amp;IF(E23="",1,E23)&amp;" left; resets "&amp;TEXT(H23,"yyyy-mm-dd"),"Used"))))</x:f>
      </x:c>
      <x:c r="K23" s="18"/>
      <x:c r="L23" s="18" t="str">
        <x:v>Yes</x:v>
      </x:c>
      <x:c r="M23" s="18" t="str">
        <x:f>IF(A23="","",A23&amp;"|"&amp;B23)</x:f>
      </x:c>
      <x:c r="N23" s="18"/>
    </x:row>
    <x:row r="24">
      <x:c r="A24" s="18"/>
      <x:c r="B24" s="18"/>
      <x:c r="C24" s="18"/>
      <x:c r="D24" s="19"/>
      <x:c r="E24" s="20"/>
      <x:c r="F24" s="20"/>
      <x:c r="G24" s="20" t="str">
        <x:f>IF(A24="","",IF(C24="Manual","Manual",MAX(0,IF(E24="",1,E24)-IF(OR(D24="",D24&lt;SWITCH(C24,"Daily",TODAY(),"Weekly",IFERROR(VLOOKUP(A24,'VIP Signups'!$A$5:$B$204,2,FALSE)+INT((TODAY()-VLOOKUP(A24,'VIP Signups'!$A$5:$B$204,2,FALSE))/7)*7,TODAY()),"Monthly",IFERROR(EDATE(VLOOKUP(A24,'VIP Signups'!$A$5:$B$204,2,FALSE),DATEDIF(VLOOKUP(A24,'VIP Signups'!$A$5:$B$204,2,FALSE),TODAY(),"M")),TODAY()),"Quarterly",IFERROR(EDATE(VLOOKUP(A24,'VIP Signups'!$A$5:$B$204,2,FALSE),INT(DATEDIF(VLOOKUP(A24,'VIP Signups'!$A$5:$B$204,2,FALSE),TODAY(),"M")/3)*3),TODAY()),"Yearly",IFERROR(EDATE(VLOOKUP(A24,'VIP Signups'!$A$5:$B$204,2,FALSE),DATEDIF(VLOOKUP(A24,'VIP Signups'!$A$5:$B$204,2,FALSE),TODAY(),"Y")*12),TODAY()),"One-time",IFERROR(VLOOKUP(A24,'VIP Signups'!$A$5:$B$204,2,FALSE),D24),"Manual",TODAY(),TODAY())),0,IF(F24="",0,F24)))))</x:f>
      </x:c>
      <x:c r="H24" s="19" t="str">
        <x:f>IF(A24="","",SWITCH(C24,"Daily",TODAY()+1,"Weekly",IFERROR(VLOOKUP(A24,'VIP Signups'!$A$5:$B$204,2,FALSE)+CEILING((TODAY()-VLOOKUP(A24,'VIP Signups'!$A$5:$B$204,2,FALSE)+1)/7,1)*7,D24+7),"Monthly",IFERROR(EDATE(VLOOKUP(A24,'VIP Signups'!$A$5:$B$204,2,FALSE),DATEDIF(VLOOKUP(A24,'VIP Signups'!$A$5:$B$204,2,FALSE),TODAY(),"M")+1),EDATE(D24,1)),"Quarterly",IFERROR(EDATE(VLOOKUP(A24,'VIP Signups'!$A$5:$B$204,2,FALSE),(INT(DATEDIF(VLOOKUP(A24,'VIP Signups'!$A$5:$B$204,2,FALSE),TODAY(),"M")/3)+1)*3),EDATE(D24,3)),"Yearly",IFERROR(EDATE(VLOOKUP(A24,'VIP Signups'!$A$5:$B$204,2,FALSE),(DATEDIF(VLOOKUP(A24,'VIP Signups'!$A$5:$B$204,2,FALSE),TODAY(),"Y")+1)*12),EDATE(D24,12)),"One-time","Used","Manual","Manual",""))</x:f>
      </x:c>
      <x:c r="I24" s="18" t="str">
        <x:f>IF(A24="","",IF(G24="Manual","Manual",IF(G24&gt;0,"Yes","No")))</x:f>
      </x:c>
      <x:c r="J24" s="18" t="str">
        <x:f>IF(A24="","",B24&amp;": "&amp;IF(I24="Yes","Available ("&amp;G24&amp;"/"&amp;IF(E24="",1,E24)&amp;" left)",IF(I24="Manual","Manual check",IF(ISNUMBER(H24),"0/"&amp;IF(E24="",1,E24)&amp;" left; resets "&amp;TEXT(H24,"yyyy-mm-dd"),"Used"))))</x:f>
      </x:c>
      <x:c r="K24" s="18"/>
      <x:c r="L24" s="18" t="str">
        <x:v>Yes</x:v>
      </x:c>
      <x:c r="M24" s="18" t="str">
        <x:f>IF(A24="","",A24&amp;"|"&amp;B24)</x:f>
      </x:c>
      <x:c r="N24" s="18"/>
    </x:row>
    <x:row r="25">
      <x:c r="A25" s="18"/>
      <x:c r="B25" s="18"/>
      <x:c r="C25" s="18"/>
      <x:c r="D25" s="19"/>
      <x:c r="E25" s="20"/>
      <x:c r="F25" s="20"/>
      <x:c r="G25" s="20" t="str">
        <x:f>IF(A25="","",IF(C25="Manual","Manual",MAX(0,IF(E25="",1,E25)-IF(OR(D25="",D25&lt;SWITCH(C25,"Daily",TODAY(),"Weekly",IFERROR(VLOOKUP(A25,'VIP Signups'!$A$5:$B$204,2,FALSE)+INT((TODAY()-VLOOKUP(A25,'VIP Signups'!$A$5:$B$204,2,FALSE))/7)*7,TODAY()),"Monthly",IFERROR(EDATE(VLOOKUP(A25,'VIP Signups'!$A$5:$B$204,2,FALSE),DATEDIF(VLOOKUP(A25,'VIP Signups'!$A$5:$B$204,2,FALSE),TODAY(),"M")),TODAY()),"Quarterly",IFERROR(EDATE(VLOOKUP(A25,'VIP Signups'!$A$5:$B$204,2,FALSE),INT(DATEDIF(VLOOKUP(A25,'VIP Signups'!$A$5:$B$204,2,FALSE),TODAY(),"M")/3)*3),TODAY()),"Yearly",IFERROR(EDATE(VLOOKUP(A25,'VIP Signups'!$A$5:$B$204,2,FALSE),DATEDIF(VLOOKUP(A25,'VIP Signups'!$A$5:$B$204,2,FALSE),TODAY(),"Y")*12),TODAY()),"One-time",IFERROR(VLOOKUP(A25,'VIP Signups'!$A$5:$B$204,2,FALSE),D25),"Manual",TODAY(),TODAY())),0,IF(F25="",0,F25)))))</x:f>
      </x:c>
      <x:c r="H25" s="19" t="str">
        <x:f>IF(A25="","",SWITCH(C25,"Daily",TODAY()+1,"Weekly",IFERROR(VLOOKUP(A25,'VIP Signups'!$A$5:$B$204,2,FALSE)+CEILING((TODAY()-VLOOKUP(A25,'VIP Signups'!$A$5:$B$204,2,FALSE)+1)/7,1)*7,D25+7),"Monthly",IFERROR(EDATE(VLOOKUP(A25,'VIP Signups'!$A$5:$B$204,2,FALSE),DATEDIF(VLOOKUP(A25,'VIP Signups'!$A$5:$B$204,2,FALSE),TODAY(),"M")+1),EDATE(D25,1)),"Quarterly",IFERROR(EDATE(VLOOKUP(A25,'VIP Signups'!$A$5:$B$204,2,FALSE),(INT(DATEDIF(VLOOKUP(A25,'VIP Signups'!$A$5:$B$204,2,FALSE),TODAY(),"M")/3)+1)*3),EDATE(D25,3)),"Yearly",IFERROR(EDATE(VLOOKUP(A25,'VIP Signups'!$A$5:$B$204,2,FALSE),(DATEDIF(VLOOKUP(A25,'VIP Signups'!$A$5:$B$204,2,FALSE),TODAY(),"Y")+1)*12),EDATE(D25,12)),"One-time","Used","Manual","Manual",""))</x:f>
      </x:c>
      <x:c r="I25" s="18" t="str">
        <x:f>IF(A25="","",IF(G25="Manual","Manual",IF(G25&gt;0,"Yes","No")))</x:f>
      </x:c>
      <x:c r="J25" s="18" t="str">
        <x:f>IF(A25="","",B25&amp;": "&amp;IF(I25="Yes","Available ("&amp;G25&amp;"/"&amp;IF(E25="",1,E25)&amp;" left)",IF(I25="Manual","Manual check",IF(ISNUMBER(H25),"0/"&amp;IF(E25="",1,E25)&amp;" left; resets "&amp;TEXT(H25,"yyyy-mm-dd"),"Used"))))</x:f>
      </x:c>
      <x:c r="K25" s="18"/>
      <x:c r="L25" s="18" t="str">
        <x:v>Yes</x:v>
      </x:c>
      <x:c r="M25" s="18" t="str">
        <x:f>IF(A25="","",A25&amp;"|"&amp;B25)</x:f>
      </x:c>
      <x:c r="N25" s="18"/>
    </x:row>
    <x:row r="26">
      <x:c r="A26" s="18"/>
      <x:c r="B26" s="18"/>
      <x:c r="C26" s="18"/>
      <x:c r="D26" s="19"/>
      <x:c r="E26" s="20"/>
      <x:c r="F26" s="20"/>
      <x:c r="G26" s="20" t="str">
        <x:f>IF(A26="","",IF(C26="Manual","Manual",MAX(0,IF(E26="",1,E26)-IF(OR(D26="",D26&lt;SWITCH(C26,"Daily",TODAY(),"Weekly",IFERROR(VLOOKUP(A26,'VIP Signups'!$A$5:$B$204,2,FALSE)+INT((TODAY()-VLOOKUP(A26,'VIP Signups'!$A$5:$B$204,2,FALSE))/7)*7,TODAY()),"Monthly",IFERROR(EDATE(VLOOKUP(A26,'VIP Signups'!$A$5:$B$204,2,FALSE),DATEDIF(VLOOKUP(A26,'VIP Signups'!$A$5:$B$204,2,FALSE),TODAY(),"M")),TODAY()),"Quarterly",IFERROR(EDATE(VLOOKUP(A26,'VIP Signups'!$A$5:$B$204,2,FALSE),INT(DATEDIF(VLOOKUP(A26,'VIP Signups'!$A$5:$B$204,2,FALSE),TODAY(),"M")/3)*3),TODAY()),"Yearly",IFERROR(EDATE(VLOOKUP(A26,'VIP Signups'!$A$5:$B$204,2,FALSE),DATEDIF(VLOOKUP(A26,'VIP Signups'!$A$5:$B$204,2,FALSE),TODAY(),"Y")*12),TODAY()),"One-time",IFERROR(VLOOKUP(A26,'VIP Signups'!$A$5:$B$204,2,FALSE),D26),"Manual",TODAY(),TODAY())),0,IF(F26="",0,F26)))))</x:f>
      </x:c>
      <x:c r="H26" s="19" t="str">
        <x:f>IF(A26="","",SWITCH(C26,"Daily",TODAY()+1,"Weekly",IFERROR(VLOOKUP(A26,'VIP Signups'!$A$5:$B$204,2,FALSE)+CEILING((TODAY()-VLOOKUP(A26,'VIP Signups'!$A$5:$B$204,2,FALSE)+1)/7,1)*7,D26+7),"Monthly",IFERROR(EDATE(VLOOKUP(A26,'VIP Signups'!$A$5:$B$204,2,FALSE),DATEDIF(VLOOKUP(A26,'VIP Signups'!$A$5:$B$204,2,FALSE),TODAY(),"M")+1),EDATE(D26,1)),"Quarterly",IFERROR(EDATE(VLOOKUP(A26,'VIP Signups'!$A$5:$B$204,2,FALSE),(INT(DATEDIF(VLOOKUP(A26,'VIP Signups'!$A$5:$B$204,2,FALSE),TODAY(),"M")/3)+1)*3),EDATE(D26,3)),"Yearly",IFERROR(EDATE(VLOOKUP(A26,'VIP Signups'!$A$5:$B$204,2,FALSE),(DATEDIF(VLOOKUP(A26,'VIP Signups'!$A$5:$B$204,2,FALSE),TODAY(),"Y")+1)*12),EDATE(D26,12)),"One-time","Used","Manual","Manual",""))</x:f>
      </x:c>
      <x:c r="I26" s="18" t="str">
        <x:f>IF(A26="","",IF(G26="Manual","Manual",IF(G26&gt;0,"Yes","No")))</x:f>
      </x:c>
      <x:c r="J26" s="18" t="str">
        <x:f>IF(A26="","",B26&amp;": "&amp;IF(I26="Yes","Available ("&amp;G26&amp;"/"&amp;IF(E26="",1,E26)&amp;" left)",IF(I26="Manual","Manual check",IF(ISNUMBER(H26),"0/"&amp;IF(E26="",1,E26)&amp;" left; resets "&amp;TEXT(H26,"yyyy-mm-dd"),"Used"))))</x:f>
      </x:c>
      <x:c r="K26" s="18"/>
      <x:c r="L26" s="18" t="str">
        <x:v>Yes</x:v>
      </x:c>
      <x:c r="M26" s="18" t="str">
        <x:f>IF(A26="","",A26&amp;"|"&amp;B26)</x:f>
      </x:c>
      <x:c r="N26" s="18"/>
    </x:row>
    <x:row r="27">
      <x:c r="A27" s="18"/>
      <x:c r="B27" s="18"/>
      <x:c r="C27" s="18"/>
      <x:c r="D27" s="19"/>
      <x:c r="E27" s="20"/>
      <x:c r="F27" s="20"/>
      <x:c r="G27" s="20" t="str">
        <x:f>IF(A27="","",IF(C27="Manual","Manual",MAX(0,IF(E27="",1,E27)-IF(OR(D27="",D27&lt;SWITCH(C27,"Daily",TODAY(),"Weekly",IFERROR(VLOOKUP(A27,'VIP Signups'!$A$5:$B$204,2,FALSE)+INT((TODAY()-VLOOKUP(A27,'VIP Signups'!$A$5:$B$204,2,FALSE))/7)*7,TODAY()),"Monthly",IFERROR(EDATE(VLOOKUP(A27,'VIP Signups'!$A$5:$B$204,2,FALSE),DATEDIF(VLOOKUP(A27,'VIP Signups'!$A$5:$B$204,2,FALSE),TODAY(),"M")),TODAY()),"Quarterly",IFERROR(EDATE(VLOOKUP(A27,'VIP Signups'!$A$5:$B$204,2,FALSE),INT(DATEDIF(VLOOKUP(A27,'VIP Signups'!$A$5:$B$204,2,FALSE),TODAY(),"M")/3)*3),TODAY()),"Yearly",IFERROR(EDATE(VLOOKUP(A27,'VIP Signups'!$A$5:$B$204,2,FALSE),DATEDIF(VLOOKUP(A27,'VIP Signups'!$A$5:$B$204,2,FALSE),TODAY(),"Y")*12),TODAY()),"One-time",IFERROR(VLOOKUP(A27,'VIP Signups'!$A$5:$B$204,2,FALSE),D27),"Manual",TODAY(),TODAY())),0,IF(F27="",0,F27)))))</x:f>
      </x:c>
      <x:c r="H27" s="19" t="str">
        <x:f>IF(A27="","",SWITCH(C27,"Daily",TODAY()+1,"Weekly",IFERROR(VLOOKUP(A27,'VIP Signups'!$A$5:$B$204,2,FALSE)+CEILING((TODAY()-VLOOKUP(A27,'VIP Signups'!$A$5:$B$204,2,FALSE)+1)/7,1)*7,D27+7),"Monthly",IFERROR(EDATE(VLOOKUP(A27,'VIP Signups'!$A$5:$B$204,2,FALSE),DATEDIF(VLOOKUP(A27,'VIP Signups'!$A$5:$B$204,2,FALSE),TODAY(),"M")+1),EDATE(D27,1)),"Quarterly",IFERROR(EDATE(VLOOKUP(A27,'VIP Signups'!$A$5:$B$204,2,FALSE),(INT(DATEDIF(VLOOKUP(A27,'VIP Signups'!$A$5:$B$204,2,FALSE),TODAY(),"M")/3)+1)*3),EDATE(D27,3)),"Yearly",IFERROR(EDATE(VLOOKUP(A27,'VIP Signups'!$A$5:$B$204,2,FALSE),(DATEDIF(VLOOKUP(A27,'VIP Signups'!$A$5:$B$204,2,FALSE),TODAY(),"Y")+1)*12),EDATE(D27,12)),"One-time","Used","Manual","Manual",""))</x:f>
      </x:c>
      <x:c r="I27" s="18" t="str">
        <x:f>IF(A27="","",IF(G27="Manual","Manual",IF(G27&gt;0,"Yes","No")))</x:f>
      </x:c>
      <x:c r="J27" s="18" t="str">
        <x:f>IF(A27="","",B27&amp;": "&amp;IF(I27="Yes","Available ("&amp;G27&amp;"/"&amp;IF(E27="",1,E27)&amp;" left)",IF(I27="Manual","Manual check",IF(ISNUMBER(H27),"0/"&amp;IF(E27="",1,E27)&amp;" left; resets "&amp;TEXT(H27,"yyyy-mm-dd"),"Used"))))</x:f>
      </x:c>
      <x:c r="K27" s="18"/>
      <x:c r="L27" s="18" t="str">
        <x:v>Yes</x:v>
      </x:c>
      <x:c r="M27" s="18" t="str">
        <x:f>IF(A27="","",A27&amp;"|"&amp;B27)</x:f>
      </x:c>
      <x:c r="N27" s="18"/>
    </x:row>
    <x:row r="28">
      <x:c r="A28" s="18"/>
      <x:c r="B28" s="18"/>
      <x:c r="C28" s="18"/>
      <x:c r="D28" s="19"/>
      <x:c r="E28" s="20"/>
      <x:c r="F28" s="20"/>
      <x:c r="G28" s="20" t="str">
        <x:f>IF(A28="","",IF(C28="Manual","Manual",MAX(0,IF(E28="",1,E28)-IF(OR(D28="",D28&lt;SWITCH(C28,"Daily",TODAY(),"Weekly",IFERROR(VLOOKUP(A28,'VIP Signups'!$A$5:$B$204,2,FALSE)+INT((TODAY()-VLOOKUP(A28,'VIP Signups'!$A$5:$B$204,2,FALSE))/7)*7,TODAY()),"Monthly",IFERROR(EDATE(VLOOKUP(A28,'VIP Signups'!$A$5:$B$204,2,FALSE),DATEDIF(VLOOKUP(A28,'VIP Signups'!$A$5:$B$204,2,FALSE),TODAY(),"M")),TODAY()),"Quarterly",IFERROR(EDATE(VLOOKUP(A28,'VIP Signups'!$A$5:$B$204,2,FALSE),INT(DATEDIF(VLOOKUP(A28,'VIP Signups'!$A$5:$B$204,2,FALSE),TODAY(),"M")/3)*3),TODAY()),"Yearly",IFERROR(EDATE(VLOOKUP(A28,'VIP Signups'!$A$5:$B$204,2,FALSE),DATEDIF(VLOOKUP(A28,'VIP Signups'!$A$5:$B$204,2,FALSE),TODAY(),"Y")*12),TODAY()),"One-time",IFERROR(VLOOKUP(A28,'VIP Signups'!$A$5:$B$204,2,FALSE),D28),"Manual",TODAY(),TODAY())),0,IF(F28="",0,F28)))))</x:f>
      </x:c>
      <x:c r="H28" s="19" t="str">
        <x:f>IF(A28="","",SWITCH(C28,"Daily",TODAY()+1,"Weekly",IFERROR(VLOOKUP(A28,'VIP Signups'!$A$5:$B$204,2,FALSE)+CEILING((TODAY()-VLOOKUP(A28,'VIP Signups'!$A$5:$B$204,2,FALSE)+1)/7,1)*7,D28+7),"Monthly",IFERROR(EDATE(VLOOKUP(A28,'VIP Signups'!$A$5:$B$204,2,FALSE),DATEDIF(VLOOKUP(A28,'VIP Signups'!$A$5:$B$204,2,FALSE),TODAY(),"M")+1),EDATE(D28,1)),"Quarterly",IFERROR(EDATE(VLOOKUP(A28,'VIP Signups'!$A$5:$B$204,2,FALSE),(INT(DATEDIF(VLOOKUP(A28,'VIP Signups'!$A$5:$B$204,2,FALSE),TODAY(),"M")/3)+1)*3),EDATE(D28,3)),"Yearly",IFERROR(EDATE(VLOOKUP(A28,'VIP Signups'!$A$5:$B$204,2,FALSE),(DATEDIF(VLOOKUP(A28,'VIP Signups'!$A$5:$B$204,2,FALSE),TODAY(),"Y")+1)*12),EDATE(D28,12)),"One-time","Used","Manual","Manual",""))</x:f>
      </x:c>
      <x:c r="I28" s="18" t="str">
        <x:f>IF(A28="","",IF(G28="Manual","Manual",IF(G28&gt;0,"Yes","No")))</x:f>
      </x:c>
      <x:c r="J28" s="18" t="str">
        <x:f>IF(A28="","",B28&amp;": "&amp;IF(I28="Yes","Available ("&amp;G28&amp;"/"&amp;IF(E28="",1,E28)&amp;" left)",IF(I28="Manual","Manual check",IF(ISNUMBER(H28),"0/"&amp;IF(E28="",1,E28)&amp;" left; resets "&amp;TEXT(H28,"yyyy-mm-dd"),"Used"))))</x:f>
      </x:c>
      <x:c r="K28" s="18"/>
      <x:c r="L28" s="18" t="str">
        <x:v>Yes</x:v>
      </x:c>
      <x:c r="M28" s="18" t="str">
        <x:f>IF(A28="","",A28&amp;"|"&amp;B28)</x:f>
      </x:c>
      <x:c r="N28" s="18"/>
    </x:row>
    <x:row r="29">
      <x:c r="A29" s="18"/>
      <x:c r="B29" s="18"/>
      <x:c r="C29" s="18"/>
      <x:c r="D29" s="19"/>
      <x:c r="E29" s="20"/>
      <x:c r="F29" s="20"/>
      <x:c r="G29" s="20" t="str">
        <x:f>IF(A29="","",IF(C29="Manual","Manual",MAX(0,IF(E29="",1,E29)-IF(OR(D29="",D29&lt;SWITCH(C29,"Daily",TODAY(),"Weekly",IFERROR(VLOOKUP(A29,'VIP Signups'!$A$5:$B$204,2,FALSE)+INT((TODAY()-VLOOKUP(A29,'VIP Signups'!$A$5:$B$204,2,FALSE))/7)*7,TODAY()),"Monthly",IFERROR(EDATE(VLOOKUP(A29,'VIP Signups'!$A$5:$B$204,2,FALSE),DATEDIF(VLOOKUP(A29,'VIP Signups'!$A$5:$B$204,2,FALSE),TODAY(),"M")),TODAY()),"Quarterly",IFERROR(EDATE(VLOOKUP(A29,'VIP Signups'!$A$5:$B$204,2,FALSE),INT(DATEDIF(VLOOKUP(A29,'VIP Signups'!$A$5:$B$204,2,FALSE),TODAY(),"M")/3)*3),TODAY()),"Yearly",IFERROR(EDATE(VLOOKUP(A29,'VIP Signups'!$A$5:$B$204,2,FALSE),DATEDIF(VLOOKUP(A29,'VIP Signups'!$A$5:$B$204,2,FALSE),TODAY(),"Y")*12),TODAY()),"One-time",IFERROR(VLOOKUP(A29,'VIP Signups'!$A$5:$B$204,2,FALSE),D29),"Manual",TODAY(),TODAY())),0,IF(F29="",0,F29)))))</x:f>
      </x:c>
      <x:c r="H29" s="19" t="str">
        <x:f>IF(A29="","",SWITCH(C29,"Daily",TODAY()+1,"Weekly",IFERROR(VLOOKUP(A29,'VIP Signups'!$A$5:$B$204,2,FALSE)+CEILING((TODAY()-VLOOKUP(A29,'VIP Signups'!$A$5:$B$204,2,FALSE)+1)/7,1)*7,D29+7),"Monthly",IFERROR(EDATE(VLOOKUP(A29,'VIP Signups'!$A$5:$B$204,2,FALSE),DATEDIF(VLOOKUP(A29,'VIP Signups'!$A$5:$B$204,2,FALSE),TODAY(),"M")+1),EDATE(D29,1)),"Quarterly",IFERROR(EDATE(VLOOKUP(A29,'VIP Signups'!$A$5:$B$204,2,FALSE),(INT(DATEDIF(VLOOKUP(A29,'VIP Signups'!$A$5:$B$204,2,FALSE),TODAY(),"M")/3)+1)*3),EDATE(D29,3)),"Yearly",IFERROR(EDATE(VLOOKUP(A29,'VIP Signups'!$A$5:$B$204,2,FALSE),(DATEDIF(VLOOKUP(A29,'VIP Signups'!$A$5:$B$204,2,FALSE),TODAY(),"Y")+1)*12),EDATE(D29,12)),"One-time","Used","Manual","Manual",""))</x:f>
      </x:c>
      <x:c r="I29" s="18" t="str">
        <x:f>IF(A29="","",IF(G29="Manual","Manual",IF(G29&gt;0,"Yes","No")))</x:f>
      </x:c>
      <x:c r="J29" s="18" t="str">
        <x:f>IF(A29="","",B29&amp;": "&amp;IF(I29="Yes","Available ("&amp;G29&amp;"/"&amp;IF(E29="",1,E29)&amp;" left)",IF(I29="Manual","Manual check",IF(ISNUMBER(H29),"0/"&amp;IF(E29="",1,E29)&amp;" left; resets "&amp;TEXT(H29,"yyyy-mm-dd"),"Used"))))</x:f>
      </x:c>
      <x:c r="K29" s="18"/>
      <x:c r="L29" s="18" t="str">
        <x:v>Yes</x:v>
      </x:c>
      <x:c r="M29" s="18" t="str">
        <x:f>IF(A29="","",A29&amp;"|"&amp;B29)</x:f>
      </x:c>
      <x:c r="N29" s="18"/>
    </x:row>
    <x:row r="30">
      <x:c r="A30" s="18"/>
      <x:c r="B30" s="18"/>
      <x:c r="C30" s="18"/>
      <x:c r="D30" s="19"/>
      <x:c r="E30" s="20"/>
      <x:c r="F30" s="20"/>
      <x:c r="G30" s="20" t="str">
        <x:f>IF(A30="","",IF(C30="Manual","Manual",MAX(0,IF(E30="",1,E30)-IF(OR(D30="",D30&lt;SWITCH(C30,"Daily",TODAY(),"Weekly",IFERROR(VLOOKUP(A30,'VIP Signups'!$A$5:$B$204,2,FALSE)+INT((TODAY()-VLOOKUP(A30,'VIP Signups'!$A$5:$B$204,2,FALSE))/7)*7,TODAY()),"Monthly",IFERROR(EDATE(VLOOKUP(A30,'VIP Signups'!$A$5:$B$204,2,FALSE),DATEDIF(VLOOKUP(A30,'VIP Signups'!$A$5:$B$204,2,FALSE),TODAY(),"M")),TODAY()),"Quarterly",IFERROR(EDATE(VLOOKUP(A30,'VIP Signups'!$A$5:$B$204,2,FALSE),INT(DATEDIF(VLOOKUP(A30,'VIP Signups'!$A$5:$B$204,2,FALSE),TODAY(),"M")/3)*3),TODAY()),"Yearly",IFERROR(EDATE(VLOOKUP(A30,'VIP Signups'!$A$5:$B$204,2,FALSE),DATEDIF(VLOOKUP(A30,'VIP Signups'!$A$5:$B$204,2,FALSE),TODAY(),"Y")*12),TODAY()),"One-time",IFERROR(VLOOKUP(A30,'VIP Signups'!$A$5:$B$204,2,FALSE),D30),"Manual",TODAY(),TODAY())),0,IF(F30="",0,F30)))))</x:f>
      </x:c>
      <x:c r="H30" s="19" t="str">
        <x:f>IF(A30="","",SWITCH(C30,"Daily",TODAY()+1,"Weekly",IFERROR(VLOOKUP(A30,'VIP Signups'!$A$5:$B$204,2,FALSE)+CEILING((TODAY()-VLOOKUP(A30,'VIP Signups'!$A$5:$B$204,2,FALSE)+1)/7,1)*7,D30+7),"Monthly",IFERROR(EDATE(VLOOKUP(A30,'VIP Signups'!$A$5:$B$204,2,FALSE),DATEDIF(VLOOKUP(A30,'VIP Signups'!$A$5:$B$204,2,FALSE),TODAY(),"M")+1),EDATE(D30,1)),"Quarterly",IFERROR(EDATE(VLOOKUP(A30,'VIP Signups'!$A$5:$B$204,2,FALSE),(INT(DATEDIF(VLOOKUP(A30,'VIP Signups'!$A$5:$B$204,2,FALSE),TODAY(),"M")/3)+1)*3),EDATE(D30,3)),"Yearly",IFERROR(EDATE(VLOOKUP(A30,'VIP Signups'!$A$5:$B$204,2,FALSE),(DATEDIF(VLOOKUP(A30,'VIP Signups'!$A$5:$B$204,2,FALSE),TODAY(),"Y")+1)*12),EDATE(D30,12)),"One-time","Used","Manual","Manual",""))</x:f>
      </x:c>
      <x:c r="I30" s="18" t="str">
        <x:f>IF(A30="","",IF(G30="Manual","Manual",IF(G30&gt;0,"Yes","No")))</x:f>
      </x:c>
      <x:c r="J30" s="18" t="str">
        <x:f>IF(A30="","",B30&amp;": "&amp;IF(I30="Yes","Available ("&amp;G30&amp;"/"&amp;IF(E30="",1,E30)&amp;" left)",IF(I30="Manual","Manual check",IF(ISNUMBER(H30),"0/"&amp;IF(E30="",1,E30)&amp;" left; resets "&amp;TEXT(H30,"yyyy-mm-dd"),"Used"))))</x:f>
      </x:c>
      <x:c r="K30" s="18"/>
      <x:c r="L30" s="18" t="str">
        <x:v>Yes</x:v>
      </x:c>
      <x:c r="M30" s="18" t="str">
        <x:f>IF(A30="","",A30&amp;"|"&amp;B30)</x:f>
      </x:c>
      <x:c r="N30" s="18"/>
    </x:row>
    <x:row r="31">
      <x:c r="A31" s="18"/>
      <x:c r="B31" s="18"/>
      <x:c r="C31" s="18"/>
      <x:c r="D31" s="19"/>
      <x:c r="E31" s="20"/>
      <x:c r="F31" s="20"/>
      <x:c r="G31" s="20" t="str">
        <x:f>IF(A31="","",IF(C31="Manual","Manual",MAX(0,IF(E31="",1,E31)-IF(OR(D31="",D31&lt;SWITCH(C31,"Daily",TODAY(),"Weekly",IFERROR(VLOOKUP(A31,'VIP Signups'!$A$5:$B$204,2,FALSE)+INT((TODAY()-VLOOKUP(A31,'VIP Signups'!$A$5:$B$204,2,FALSE))/7)*7,TODAY()),"Monthly",IFERROR(EDATE(VLOOKUP(A31,'VIP Signups'!$A$5:$B$204,2,FALSE),DATEDIF(VLOOKUP(A31,'VIP Signups'!$A$5:$B$204,2,FALSE),TODAY(),"M")),TODAY()),"Quarterly",IFERROR(EDATE(VLOOKUP(A31,'VIP Signups'!$A$5:$B$204,2,FALSE),INT(DATEDIF(VLOOKUP(A31,'VIP Signups'!$A$5:$B$204,2,FALSE),TODAY(),"M")/3)*3),TODAY()),"Yearly",IFERROR(EDATE(VLOOKUP(A31,'VIP Signups'!$A$5:$B$204,2,FALSE),DATEDIF(VLOOKUP(A31,'VIP Signups'!$A$5:$B$204,2,FALSE),TODAY(),"Y")*12),TODAY()),"One-time",IFERROR(VLOOKUP(A31,'VIP Signups'!$A$5:$B$204,2,FALSE),D31),"Manual",TODAY(),TODAY())),0,IF(F31="",0,F31)))))</x:f>
      </x:c>
      <x:c r="H31" s="19" t="str">
        <x:f>IF(A31="","",SWITCH(C31,"Daily",TODAY()+1,"Weekly",IFERROR(VLOOKUP(A31,'VIP Signups'!$A$5:$B$204,2,FALSE)+CEILING((TODAY()-VLOOKUP(A31,'VIP Signups'!$A$5:$B$204,2,FALSE)+1)/7,1)*7,D31+7),"Monthly",IFERROR(EDATE(VLOOKUP(A31,'VIP Signups'!$A$5:$B$204,2,FALSE),DATEDIF(VLOOKUP(A31,'VIP Signups'!$A$5:$B$204,2,FALSE),TODAY(),"M")+1),EDATE(D31,1)),"Quarterly",IFERROR(EDATE(VLOOKUP(A31,'VIP Signups'!$A$5:$B$204,2,FALSE),(INT(DATEDIF(VLOOKUP(A31,'VIP Signups'!$A$5:$B$204,2,FALSE),TODAY(),"M")/3)+1)*3),EDATE(D31,3)),"Yearly",IFERROR(EDATE(VLOOKUP(A31,'VIP Signups'!$A$5:$B$204,2,FALSE),(DATEDIF(VLOOKUP(A31,'VIP Signups'!$A$5:$B$204,2,FALSE),TODAY(),"Y")+1)*12),EDATE(D31,12)),"One-time","Used","Manual","Manual",""))</x:f>
      </x:c>
      <x:c r="I31" s="18" t="str">
        <x:f>IF(A31="","",IF(G31="Manual","Manual",IF(G31&gt;0,"Yes","No")))</x:f>
      </x:c>
      <x:c r="J31" s="18" t="str">
        <x:f>IF(A31="","",B31&amp;": "&amp;IF(I31="Yes","Available ("&amp;G31&amp;"/"&amp;IF(E31="",1,E31)&amp;" left)",IF(I31="Manual","Manual check",IF(ISNUMBER(H31),"0/"&amp;IF(E31="",1,E31)&amp;" left; resets "&amp;TEXT(H31,"yyyy-mm-dd"),"Used"))))</x:f>
      </x:c>
      <x:c r="K31" s="18"/>
      <x:c r="L31" s="18" t="str">
        <x:v>Yes</x:v>
      </x:c>
      <x:c r="M31" s="18" t="str">
        <x:f>IF(A31="","",A31&amp;"|"&amp;B31)</x:f>
      </x:c>
      <x:c r="N31" s="18"/>
    </x:row>
    <x:row r="32">
      <x:c r="A32" s="18"/>
      <x:c r="B32" s="18"/>
      <x:c r="C32" s="18"/>
      <x:c r="D32" s="19"/>
      <x:c r="E32" s="20"/>
      <x:c r="F32" s="20"/>
      <x:c r="G32" s="20" t="str">
        <x:f>IF(A32="","",IF(C32="Manual","Manual",MAX(0,IF(E32="",1,E32)-IF(OR(D32="",D32&lt;SWITCH(C32,"Daily",TODAY(),"Weekly",IFERROR(VLOOKUP(A32,'VIP Signups'!$A$5:$B$204,2,FALSE)+INT((TODAY()-VLOOKUP(A32,'VIP Signups'!$A$5:$B$204,2,FALSE))/7)*7,TODAY()),"Monthly",IFERROR(EDATE(VLOOKUP(A32,'VIP Signups'!$A$5:$B$204,2,FALSE),DATEDIF(VLOOKUP(A32,'VIP Signups'!$A$5:$B$204,2,FALSE),TODAY(),"M")),TODAY()),"Quarterly",IFERROR(EDATE(VLOOKUP(A32,'VIP Signups'!$A$5:$B$204,2,FALSE),INT(DATEDIF(VLOOKUP(A32,'VIP Signups'!$A$5:$B$204,2,FALSE),TODAY(),"M")/3)*3),TODAY()),"Yearly",IFERROR(EDATE(VLOOKUP(A32,'VIP Signups'!$A$5:$B$204,2,FALSE),DATEDIF(VLOOKUP(A32,'VIP Signups'!$A$5:$B$204,2,FALSE),TODAY(),"Y")*12),TODAY()),"One-time",IFERROR(VLOOKUP(A32,'VIP Signups'!$A$5:$B$204,2,FALSE),D32),"Manual",TODAY(),TODAY())),0,IF(F32="",0,F32)))))</x:f>
      </x:c>
      <x:c r="H32" s="19" t="str">
        <x:f>IF(A32="","",SWITCH(C32,"Daily",TODAY()+1,"Weekly",IFERROR(VLOOKUP(A32,'VIP Signups'!$A$5:$B$204,2,FALSE)+CEILING((TODAY()-VLOOKUP(A32,'VIP Signups'!$A$5:$B$204,2,FALSE)+1)/7,1)*7,D32+7),"Monthly",IFERROR(EDATE(VLOOKUP(A32,'VIP Signups'!$A$5:$B$204,2,FALSE),DATEDIF(VLOOKUP(A32,'VIP Signups'!$A$5:$B$204,2,FALSE),TODAY(),"M")+1),EDATE(D32,1)),"Quarterly",IFERROR(EDATE(VLOOKUP(A32,'VIP Signups'!$A$5:$B$204,2,FALSE),(INT(DATEDIF(VLOOKUP(A32,'VIP Signups'!$A$5:$B$204,2,FALSE),TODAY(),"M")/3)+1)*3),EDATE(D32,3)),"Yearly",IFERROR(EDATE(VLOOKUP(A32,'VIP Signups'!$A$5:$B$204,2,FALSE),(DATEDIF(VLOOKUP(A32,'VIP Signups'!$A$5:$B$204,2,FALSE),TODAY(),"Y")+1)*12),EDATE(D32,12)),"One-time","Used","Manual","Manual",""))</x:f>
      </x:c>
      <x:c r="I32" s="18" t="str">
        <x:f>IF(A32="","",IF(G32="Manual","Manual",IF(G32&gt;0,"Yes","No")))</x:f>
      </x:c>
      <x:c r="J32" s="18" t="str">
        <x:f>IF(A32="","",B32&amp;": "&amp;IF(I32="Yes","Available ("&amp;G32&amp;"/"&amp;IF(E32="",1,E32)&amp;" left)",IF(I32="Manual","Manual check",IF(ISNUMBER(H32),"0/"&amp;IF(E32="",1,E32)&amp;" left; resets "&amp;TEXT(H32,"yyyy-mm-dd"),"Used"))))</x:f>
      </x:c>
      <x:c r="K32" s="18"/>
      <x:c r="L32" s="18" t="str">
        <x:v>Yes</x:v>
      </x:c>
      <x:c r="M32" s="18" t="str">
        <x:f>IF(A32="","",A32&amp;"|"&amp;B32)</x:f>
      </x:c>
      <x:c r="N32" s="18"/>
    </x:row>
    <x:row r="33">
      <x:c r="A33" s="18"/>
      <x:c r="B33" s="18"/>
      <x:c r="C33" s="18"/>
      <x:c r="D33" s="19"/>
      <x:c r="E33" s="20"/>
      <x:c r="F33" s="20"/>
      <x:c r="G33" s="20" t="str">
        <x:f>IF(A33="","",IF(C33="Manual","Manual",MAX(0,IF(E33="",1,E33)-IF(OR(D33="",D33&lt;SWITCH(C33,"Daily",TODAY(),"Weekly",IFERROR(VLOOKUP(A33,'VIP Signups'!$A$5:$B$204,2,FALSE)+INT((TODAY()-VLOOKUP(A33,'VIP Signups'!$A$5:$B$204,2,FALSE))/7)*7,TODAY()),"Monthly",IFERROR(EDATE(VLOOKUP(A33,'VIP Signups'!$A$5:$B$204,2,FALSE),DATEDIF(VLOOKUP(A33,'VIP Signups'!$A$5:$B$204,2,FALSE),TODAY(),"M")),TODAY()),"Quarterly",IFERROR(EDATE(VLOOKUP(A33,'VIP Signups'!$A$5:$B$204,2,FALSE),INT(DATEDIF(VLOOKUP(A33,'VIP Signups'!$A$5:$B$204,2,FALSE),TODAY(),"M")/3)*3),TODAY()),"Yearly",IFERROR(EDATE(VLOOKUP(A33,'VIP Signups'!$A$5:$B$204,2,FALSE),DATEDIF(VLOOKUP(A33,'VIP Signups'!$A$5:$B$204,2,FALSE),TODAY(),"Y")*12),TODAY()),"One-time",IFERROR(VLOOKUP(A33,'VIP Signups'!$A$5:$B$204,2,FALSE),D33),"Manual",TODAY(),TODAY())),0,IF(F33="",0,F33)))))</x:f>
      </x:c>
      <x:c r="H33" s="19" t="str">
        <x:f>IF(A33="","",SWITCH(C33,"Daily",TODAY()+1,"Weekly",IFERROR(VLOOKUP(A33,'VIP Signups'!$A$5:$B$204,2,FALSE)+CEILING((TODAY()-VLOOKUP(A33,'VIP Signups'!$A$5:$B$204,2,FALSE)+1)/7,1)*7,D33+7),"Monthly",IFERROR(EDATE(VLOOKUP(A33,'VIP Signups'!$A$5:$B$204,2,FALSE),DATEDIF(VLOOKUP(A33,'VIP Signups'!$A$5:$B$204,2,FALSE),TODAY(),"M")+1),EDATE(D33,1)),"Quarterly",IFERROR(EDATE(VLOOKUP(A33,'VIP Signups'!$A$5:$B$204,2,FALSE),(INT(DATEDIF(VLOOKUP(A33,'VIP Signups'!$A$5:$B$204,2,FALSE),TODAY(),"M")/3)+1)*3),EDATE(D33,3)),"Yearly",IFERROR(EDATE(VLOOKUP(A33,'VIP Signups'!$A$5:$B$204,2,FALSE),(DATEDIF(VLOOKUP(A33,'VIP Signups'!$A$5:$B$204,2,FALSE),TODAY(),"Y")+1)*12),EDATE(D33,12)),"One-time","Used","Manual","Manual",""))</x:f>
      </x:c>
      <x:c r="I33" s="18" t="str">
        <x:f>IF(A33="","",IF(G33="Manual","Manual",IF(G33&gt;0,"Yes","No")))</x:f>
      </x:c>
      <x:c r="J33" s="18" t="str">
        <x:f>IF(A33="","",B33&amp;": "&amp;IF(I33="Yes","Available ("&amp;G33&amp;"/"&amp;IF(E33="",1,E33)&amp;" left)",IF(I33="Manual","Manual check",IF(ISNUMBER(H33),"0/"&amp;IF(E33="",1,E33)&amp;" left; resets "&amp;TEXT(H33,"yyyy-mm-dd"),"Used"))))</x:f>
      </x:c>
      <x:c r="K33" s="18"/>
      <x:c r="L33" s="18" t="str">
        <x:v>Yes</x:v>
      </x:c>
      <x:c r="M33" s="18" t="str">
        <x:f>IF(A33="","",A33&amp;"|"&amp;B33)</x:f>
      </x:c>
      <x:c r="N33" s="18"/>
    </x:row>
    <x:row r="34">
      <x:c r="A34" s="18"/>
      <x:c r="B34" s="18"/>
      <x:c r="C34" s="18"/>
      <x:c r="D34" s="19"/>
      <x:c r="E34" s="20"/>
      <x:c r="F34" s="20"/>
      <x:c r="G34" s="20" t="str">
        <x:f>IF(A34="","",IF(C34="Manual","Manual",MAX(0,IF(E34="",1,E34)-IF(OR(D34="",D34&lt;SWITCH(C34,"Daily",TODAY(),"Weekly",IFERROR(VLOOKUP(A34,'VIP Signups'!$A$5:$B$204,2,FALSE)+INT((TODAY()-VLOOKUP(A34,'VIP Signups'!$A$5:$B$204,2,FALSE))/7)*7,TODAY()),"Monthly",IFERROR(EDATE(VLOOKUP(A34,'VIP Signups'!$A$5:$B$204,2,FALSE),DATEDIF(VLOOKUP(A34,'VIP Signups'!$A$5:$B$204,2,FALSE),TODAY(),"M")),TODAY()),"Quarterly",IFERROR(EDATE(VLOOKUP(A34,'VIP Signups'!$A$5:$B$204,2,FALSE),INT(DATEDIF(VLOOKUP(A34,'VIP Signups'!$A$5:$B$204,2,FALSE),TODAY(),"M")/3)*3),TODAY()),"Yearly",IFERROR(EDATE(VLOOKUP(A34,'VIP Signups'!$A$5:$B$204,2,FALSE),DATEDIF(VLOOKUP(A34,'VIP Signups'!$A$5:$B$204,2,FALSE),TODAY(),"Y")*12),TODAY()),"One-time",IFERROR(VLOOKUP(A34,'VIP Signups'!$A$5:$B$204,2,FALSE),D34),"Manual",TODAY(),TODAY())),0,IF(F34="",0,F34)))))</x:f>
      </x:c>
      <x:c r="H34" s="19" t="str">
        <x:f>IF(A34="","",SWITCH(C34,"Daily",TODAY()+1,"Weekly",IFERROR(VLOOKUP(A34,'VIP Signups'!$A$5:$B$204,2,FALSE)+CEILING((TODAY()-VLOOKUP(A34,'VIP Signups'!$A$5:$B$204,2,FALSE)+1)/7,1)*7,D34+7),"Monthly",IFERROR(EDATE(VLOOKUP(A34,'VIP Signups'!$A$5:$B$204,2,FALSE),DATEDIF(VLOOKUP(A34,'VIP Signups'!$A$5:$B$204,2,FALSE),TODAY(),"M")+1),EDATE(D34,1)),"Quarterly",IFERROR(EDATE(VLOOKUP(A34,'VIP Signups'!$A$5:$B$204,2,FALSE),(INT(DATEDIF(VLOOKUP(A34,'VIP Signups'!$A$5:$B$204,2,FALSE),TODAY(),"M")/3)+1)*3),EDATE(D34,3)),"Yearly",IFERROR(EDATE(VLOOKUP(A34,'VIP Signups'!$A$5:$B$204,2,FALSE),(DATEDIF(VLOOKUP(A34,'VIP Signups'!$A$5:$B$204,2,FALSE),TODAY(),"Y")+1)*12),EDATE(D34,12)),"One-time","Used","Manual","Manual",""))</x:f>
      </x:c>
      <x:c r="I34" s="18" t="str">
        <x:f>IF(A34="","",IF(G34="Manual","Manual",IF(G34&gt;0,"Yes","No")))</x:f>
      </x:c>
      <x:c r="J34" s="18" t="str">
        <x:f>IF(A34="","",B34&amp;": "&amp;IF(I34="Yes","Available ("&amp;G34&amp;"/"&amp;IF(E34="",1,E34)&amp;" left)",IF(I34="Manual","Manual check",IF(ISNUMBER(H34),"0/"&amp;IF(E34="",1,E34)&amp;" left; resets "&amp;TEXT(H34,"yyyy-mm-dd"),"Used"))))</x:f>
      </x:c>
      <x:c r="K34" s="18"/>
      <x:c r="L34" s="18" t="str">
        <x:v>Yes</x:v>
      </x:c>
      <x:c r="M34" s="18" t="str">
        <x:f>IF(A34="","",A34&amp;"|"&amp;B34)</x:f>
      </x:c>
      <x:c r="N34" s="18"/>
    </x:row>
    <x:row r="35">
      <x:c r="A35" s="18"/>
      <x:c r="B35" s="18"/>
      <x:c r="C35" s="18"/>
      <x:c r="D35" s="19"/>
      <x:c r="E35" s="20"/>
      <x:c r="F35" s="20"/>
      <x:c r="G35" s="20" t="str">
        <x:f>IF(A35="","",IF(C35="Manual","Manual",MAX(0,IF(E35="",1,E35)-IF(OR(D35="",D35&lt;SWITCH(C35,"Daily",TODAY(),"Weekly",IFERROR(VLOOKUP(A35,'VIP Signups'!$A$5:$B$204,2,FALSE)+INT((TODAY()-VLOOKUP(A35,'VIP Signups'!$A$5:$B$204,2,FALSE))/7)*7,TODAY()),"Monthly",IFERROR(EDATE(VLOOKUP(A35,'VIP Signups'!$A$5:$B$204,2,FALSE),DATEDIF(VLOOKUP(A35,'VIP Signups'!$A$5:$B$204,2,FALSE),TODAY(),"M")),TODAY()),"Quarterly",IFERROR(EDATE(VLOOKUP(A35,'VIP Signups'!$A$5:$B$204,2,FALSE),INT(DATEDIF(VLOOKUP(A35,'VIP Signups'!$A$5:$B$204,2,FALSE),TODAY(),"M")/3)*3),TODAY()),"Yearly",IFERROR(EDATE(VLOOKUP(A35,'VIP Signups'!$A$5:$B$204,2,FALSE),DATEDIF(VLOOKUP(A35,'VIP Signups'!$A$5:$B$204,2,FALSE),TODAY(),"Y")*12),TODAY()),"One-time",IFERROR(VLOOKUP(A35,'VIP Signups'!$A$5:$B$204,2,FALSE),D35),"Manual",TODAY(),TODAY())),0,IF(F35="",0,F35)))))</x:f>
      </x:c>
      <x:c r="H35" s="19" t="str">
        <x:f>IF(A35="","",SWITCH(C35,"Daily",TODAY()+1,"Weekly",IFERROR(VLOOKUP(A35,'VIP Signups'!$A$5:$B$204,2,FALSE)+CEILING((TODAY()-VLOOKUP(A35,'VIP Signups'!$A$5:$B$204,2,FALSE)+1)/7,1)*7,D35+7),"Monthly",IFERROR(EDATE(VLOOKUP(A35,'VIP Signups'!$A$5:$B$204,2,FALSE),DATEDIF(VLOOKUP(A35,'VIP Signups'!$A$5:$B$204,2,FALSE),TODAY(),"M")+1),EDATE(D35,1)),"Quarterly",IFERROR(EDATE(VLOOKUP(A35,'VIP Signups'!$A$5:$B$204,2,FALSE),(INT(DATEDIF(VLOOKUP(A35,'VIP Signups'!$A$5:$B$204,2,FALSE),TODAY(),"M")/3)+1)*3),EDATE(D35,3)),"Yearly",IFERROR(EDATE(VLOOKUP(A35,'VIP Signups'!$A$5:$B$204,2,FALSE),(DATEDIF(VLOOKUP(A35,'VIP Signups'!$A$5:$B$204,2,FALSE),TODAY(),"Y")+1)*12),EDATE(D35,12)),"One-time","Used","Manual","Manual",""))</x:f>
      </x:c>
      <x:c r="I35" s="18" t="str">
        <x:f>IF(A35="","",IF(G35="Manual","Manual",IF(G35&gt;0,"Yes","No")))</x:f>
      </x:c>
      <x:c r="J35" s="18" t="str">
        <x:f>IF(A35="","",B35&amp;": "&amp;IF(I35="Yes","Available ("&amp;G35&amp;"/"&amp;IF(E35="",1,E35)&amp;" left)",IF(I35="Manual","Manual check",IF(ISNUMBER(H35),"0/"&amp;IF(E35="",1,E35)&amp;" left; resets "&amp;TEXT(H35,"yyyy-mm-dd"),"Used"))))</x:f>
      </x:c>
      <x:c r="K35" s="18"/>
      <x:c r="L35" s="18" t="str">
        <x:v>Yes</x:v>
      </x:c>
      <x:c r="M35" s="18" t="str">
        <x:f>IF(A35="","",A35&amp;"|"&amp;B35)</x:f>
      </x:c>
      <x:c r="N35" s="18"/>
    </x:row>
    <x:row r="36">
      <x:c r="A36" s="18"/>
      <x:c r="B36" s="18"/>
      <x:c r="C36" s="18"/>
      <x:c r="D36" s="19"/>
      <x:c r="E36" s="20"/>
      <x:c r="F36" s="20"/>
      <x:c r="G36" s="20" t="str">
        <x:f>IF(A36="","",IF(C36="Manual","Manual",MAX(0,IF(E36="",1,E36)-IF(OR(D36="",D36&lt;SWITCH(C36,"Daily",TODAY(),"Weekly",IFERROR(VLOOKUP(A36,'VIP Signups'!$A$5:$B$204,2,FALSE)+INT((TODAY()-VLOOKUP(A36,'VIP Signups'!$A$5:$B$204,2,FALSE))/7)*7,TODAY()),"Monthly",IFERROR(EDATE(VLOOKUP(A36,'VIP Signups'!$A$5:$B$204,2,FALSE),DATEDIF(VLOOKUP(A36,'VIP Signups'!$A$5:$B$204,2,FALSE),TODAY(),"M")),TODAY()),"Quarterly",IFERROR(EDATE(VLOOKUP(A36,'VIP Signups'!$A$5:$B$204,2,FALSE),INT(DATEDIF(VLOOKUP(A36,'VIP Signups'!$A$5:$B$204,2,FALSE),TODAY(),"M")/3)*3),TODAY()),"Yearly",IFERROR(EDATE(VLOOKUP(A36,'VIP Signups'!$A$5:$B$204,2,FALSE),DATEDIF(VLOOKUP(A36,'VIP Signups'!$A$5:$B$204,2,FALSE),TODAY(),"Y")*12),TODAY()),"One-time",IFERROR(VLOOKUP(A36,'VIP Signups'!$A$5:$B$204,2,FALSE),D36),"Manual",TODAY(),TODAY())),0,IF(F36="",0,F36)))))</x:f>
      </x:c>
      <x:c r="H36" s="19" t="str">
        <x:f>IF(A36="","",SWITCH(C36,"Daily",TODAY()+1,"Weekly",IFERROR(VLOOKUP(A36,'VIP Signups'!$A$5:$B$204,2,FALSE)+CEILING((TODAY()-VLOOKUP(A36,'VIP Signups'!$A$5:$B$204,2,FALSE)+1)/7,1)*7,D36+7),"Monthly",IFERROR(EDATE(VLOOKUP(A36,'VIP Signups'!$A$5:$B$204,2,FALSE),DATEDIF(VLOOKUP(A36,'VIP Signups'!$A$5:$B$204,2,FALSE),TODAY(),"M")+1),EDATE(D36,1)),"Quarterly",IFERROR(EDATE(VLOOKUP(A36,'VIP Signups'!$A$5:$B$204,2,FALSE),(INT(DATEDIF(VLOOKUP(A36,'VIP Signups'!$A$5:$B$204,2,FALSE),TODAY(),"M")/3)+1)*3),EDATE(D36,3)),"Yearly",IFERROR(EDATE(VLOOKUP(A36,'VIP Signups'!$A$5:$B$204,2,FALSE),(DATEDIF(VLOOKUP(A36,'VIP Signups'!$A$5:$B$204,2,FALSE),TODAY(),"Y")+1)*12),EDATE(D36,12)),"One-time","Used","Manual","Manual",""))</x:f>
      </x:c>
      <x:c r="I36" s="18" t="str">
        <x:f>IF(A36="","",IF(G36="Manual","Manual",IF(G36&gt;0,"Yes","No")))</x:f>
      </x:c>
      <x:c r="J36" s="18" t="str">
        <x:f>IF(A36="","",B36&amp;": "&amp;IF(I36="Yes","Available ("&amp;G36&amp;"/"&amp;IF(E36="",1,E36)&amp;" left)",IF(I36="Manual","Manual check",IF(ISNUMBER(H36),"0/"&amp;IF(E36="",1,E36)&amp;" left; resets "&amp;TEXT(H36,"yyyy-mm-dd"),"Used"))))</x:f>
      </x:c>
      <x:c r="K36" s="18"/>
      <x:c r="L36" s="18" t="str">
        <x:v>Yes</x:v>
      </x:c>
      <x:c r="M36" s="18" t="str">
        <x:f>IF(A36="","",A36&amp;"|"&amp;B36)</x:f>
      </x:c>
      <x:c r="N36" s="18"/>
    </x:row>
    <x:row r="37">
      <x:c r="A37" s="18"/>
      <x:c r="B37" s="18"/>
      <x:c r="C37" s="18"/>
      <x:c r="D37" s="19"/>
      <x:c r="E37" s="20"/>
      <x:c r="F37" s="20"/>
      <x:c r="G37" s="20" t="str">
        <x:f>IF(A37="","",IF(C37="Manual","Manual",MAX(0,IF(E37="",1,E37)-IF(OR(D37="",D37&lt;SWITCH(C37,"Daily",TODAY(),"Weekly",IFERROR(VLOOKUP(A37,'VIP Signups'!$A$5:$B$204,2,FALSE)+INT((TODAY()-VLOOKUP(A37,'VIP Signups'!$A$5:$B$204,2,FALSE))/7)*7,TODAY()),"Monthly",IFERROR(EDATE(VLOOKUP(A37,'VIP Signups'!$A$5:$B$204,2,FALSE),DATEDIF(VLOOKUP(A37,'VIP Signups'!$A$5:$B$204,2,FALSE),TODAY(),"M")),TODAY()),"Quarterly",IFERROR(EDATE(VLOOKUP(A37,'VIP Signups'!$A$5:$B$204,2,FALSE),INT(DATEDIF(VLOOKUP(A37,'VIP Signups'!$A$5:$B$204,2,FALSE),TODAY(),"M")/3)*3),TODAY()),"Yearly",IFERROR(EDATE(VLOOKUP(A37,'VIP Signups'!$A$5:$B$204,2,FALSE),DATEDIF(VLOOKUP(A37,'VIP Signups'!$A$5:$B$204,2,FALSE),TODAY(),"Y")*12),TODAY()),"One-time",IFERROR(VLOOKUP(A37,'VIP Signups'!$A$5:$B$204,2,FALSE),D37),"Manual",TODAY(),TODAY())),0,IF(F37="",0,F37)))))</x:f>
      </x:c>
      <x:c r="H37" s="19" t="str">
        <x:f>IF(A37="","",SWITCH(C37,"Daily",TODAY()+1,"Weekly",IFERROR(VLOOKUP(A37,'VIP Signups'!$A$5:$B$204,2,FALSE)+CEILING((TODAY()-VLOOKUP(A37,'VIP Signups'!$A$5:$B$204,2,FALSE)+1)/7,1)*7,D37+7),"Monthly",IFERROR(EDATE(VLOOKUP(A37,'VIP Signups'!$A$5:$B$204,2,FALSE),DATEDIF(VLOOKUP(A37,'VIP Signups'!$A$5:$B$204,2,FALSE),TODAY(),"M")+1),EDATE(D37,1)),"Quarterly",IFERROR(EDATE(VLOOKUP(A37,'VIP Signups'!$A$5:$B$204,2,FALSE),(INT(DATEDIF(VLOOKUP(A37,'VIP Signups'!$A$5:$B$204,2,FALSE),TODAY(),"M")/3)+1)*3),EDATE(D37,3)),"Yearly",IFERROR(EDATE(VLOOKUP(A37,'VIP Signups'!$A$5:$B$204,2,FALSE),(DATEDIF(VLOOKUP(A37,'VIP Signups'!$A$5:$B$204,2,FALSE),TODAY(),"Y")+1)*12),EDATE(D37,12)),"One-time","Used","Manual","Manual",""))</x:f>
      </x:c>
      <x:c r="I37" s="18" t="str">
        <x:f>IF(A37="","",IF(G37="Manual","Manual",IF(G37&gt;0,"Yes","No")))</x:f>
      </x:c>
      <x:c r="J37" s="18" t="str">
        <x:f>IF(A37="","",B37&amp;": "&amp;IF(I37="Yes","Available ("&amp;G37&amp;"/"&amp;IF(E37="",1,E37)&amp;" left)",IF(I37="Manual","Manual check",IF(ISNUMBER(H37),"0/"&amp;IF(E37="",1,E37)&amp;" left; resets "&amp;TEXT(H37,"yyyy-mm-dd"),"Used"))))</x:f>
      </x:c>
      <x:c r="K37" s="18"/>
      <x:c r="L37" s="18" t="str">
        <x:v>Yes</x:v>
      </x:c>
      <x:c r="M37" s="18" t="str">
        <x:f>IF(A37="","",A37&amp;"|"&amp;B37)</x:f>
      </x:c>
      <x:c r="N37" s="18"/>
    </x:row>
    <x:row r="38">
      <x:c r="A38" s="18"/>
      <x:c r="B38" s="18"/>
      <x:c r="C38" s="18"/>
      <x:c r="D38" s="19"/>
      <x:c r="E38" s="20"/>
      <x:c r="F38" s="20"/>
      <x:c r="G38" s="20" t="str">
        <x:f>IF(A38="","",IF(C38="Manual","Manual",MAX(0,IF(E38="",1,E38)-IF(OR(D38="",D38&lt;SWITCH(C38,"Daily",TODAY(),"Weekly",IFERROR(VLOOKUP(A38,'VIP Signups'!$A$5:$B$204,2,FALSE)+INT((TODAY()-VLOOKUP(A38,'VIP Signups'!$A$5:$B$204,2,FALSE))/7)*7,TODAY()),"Monthly",IFERROR(EDATE(VLOOKUP(A38,'VIP Signups'!$A$5:$B$204,2,FALSE),DATEDIF(VLOOKUP(A38,'VIP Signups'!$A$5:$B$204,2,FALSE),TODAY(),"M")),TODAY()),"Quarterly",IFERROR(EDATE(VLOOKUP(A38,'VIP Signups'!$A$5:$B$204,2,FALSE),INT(DATEDIF(VLOOKUP(A38,'VIP Signups'!$A$5:$B$204,2,FALSE),TODAY(),"M")/3)*3),TODAY()),"Yearly",IFERROR(EDATE(VLOOKUP(A38,'VIP Signups'!$A$5:$B$204,2,FALSE),DATEDIF(VLOOKUP(A38,'VIP Signups'!$A$5:$B$204,2,FALSE),TODAY(),"Y")*12),TODAY()),"One-time",IFERROR(VLOOKUP(A38,'VIP Signups'!$A$5:$B$204,2,FALSE),D38),"Manual",TODAY(),TODAY())),0,IF(F38="",0,F38)))))</x:f>
      </x:c>
      <x:c r="H38" s="19" t="str">
        <x:f>IF(A38="","",SWITCH(C38,"Daily",TODAY()+1,"Weekly",IFERROR(VLOOKUP(A38,'VIP Signups'!$A$5:$B$204,2,FALSE)+CEILING((TODAY()-VLOOKUP(A38,'VIP Signups'!$A$5:$B$204,2,FALSE)+1)/7,1)*7,D38+7),"Monthly",IFERROR(EDATE(VLOOKUP(A38,'VIP Signups'!$A$5:$B$204,2,FALSE),DATEDIF(VLOOKUP(A38,'VIP Signups'!$A$5:$B$204,2,FALSE),TODAY(),"M")+1),EDATE(D38,1)),"Quarterly",IFERROR(EDATE(VLOOKUP(A38,'VIP Signups'!$A$5:$B$204,2,FALSE),(INT(DATEDIF(VLOOKUP(A38,'VIP Signups'!$A$5:$B$204,2,FALSE),TODAY(),"M")/3)+1)*3),EDATE(D38,3)),"Yearly",IFERROR(EDATE(VLOOKUP(A38,'VIP Signups'!$A$5:$B$204,2,FALSE),(DATEDIF(VLOOKUP(A38,'VIP Signups'!$A$5:$B$204,2,FALSE),TODAY(),"Y")+1)*12),EDATE(D38,12)),"One-time","Used","Manual","Manual",""))</x:f>
      </x:c>
      <x:c r="I38" s="18" t="str">
        <x:f>IF(A38="","",IF(G38="Manual","Manual",IF(G38&gt;0,"Yes","No")))</x:f>
      </x:c>
      <x:c r="J38" s="18" t="str">
        <x:f>IF(A38="","",B38&amp;": "&amp;IF(I38="Yes","Available ("&amp;G38&amp;"/"&amp;IF(E38="",1,E38)&amp;" left)",IF(I38="Manual","Manual check",IF(ISNUMBER(H38),"0/"&amp;IF(E38="",1,E38)&amp;" left; resets "&amp;TEXT(H38,"yyyy-mm-dd"),"Used"))))</x:f>
      </x:c>
      <x:c r="K38" s="18"/>
      <x:c r="L38" s="18" t="str">
        <x:v>Yes</x:v>
      </x:c>
      <x:c r="M38" s="18" t="str">
        <x:f>IF(A38="","",A38&amp;"|"&amp;B38)</x:f>
      </x:c>
      <x:c r="N38" s="18"/>
    </x:row>
    <x:row r="39">
      <x:c r="A39" s="18"/>
      <x:c r="B39" s="18"/>
      <x:c r="C39" s="18"/>
      <x:c r="D39" s="19"/>
      <x:c r="E39" s="20"/>
      <x:c r="F39" s="20"/>
      <x:c r="G39" s="20" t="str">
        <x:f>IF(A39="","",IF(C39="Manual","Manual",MAX(0,IF(E39="",1,E39)-IF(OR(D39="",D39&lt;SWITCH(C39,"Daily",TODAY(),"Weekly",IFERROR(VLOOKUP(A39,'VIP Signups'!$A$5:$B$204,2,FALSE)+INT((TODAY()-VLOOKUP(A39,'VIP Signups'!$A$5:$B$204,2,FALSE))/7)*7,TODAY()),"Monthly",IFERROR(EDATE(VLOOKUP(A39,'VIP Signups'!$A$5:$B$204,2,FALSE),DATEDIF(VLOOKUP(A39,'VIP Signups'!$A$5:$B$204,2,FALSE),TODAY(),"M")),TODAY()),"Quarterly",IFERROR(EDATE(VLOOKUP(A39,'VIP Signups'!$A$5:$B$204,2,FALSE),INT(DATEDIF(VLOOKUP(A39,'VIP Signups'!$A$5:$B$204,2,FALSE),TODAY(),"M")/3)*3),TODAY()),"Yearly",IFERROR(EDATE(VLOOKUP(A39,'VIP Signups'!$A$5:$B$204,2,FALSE),DATEDIF(VLOOKUP(A39,'VIP Signups'!$A$5:$B$204,2,FALSE),TODAY(),"Y")*12),TODAY()),"One-time",IFERROR(VLOOKUP(A39,'VIP Signups'!$A$5:$B$204,2,FALSE),D39),"Manual",TODAY(),TODAY())),0,IF(F39="",0,F39)))))</x:f>
      </x:c>
      <x:c r="H39" s="19" t="str">
        <x:f>IF(A39="","",SWITCH(C39,"Daily",TODAY()+1,"Weekly",IFERROR(VLOOKUP(A39,'VIP Signups'!$A$5:$B$204,2,FALSE)+CEILING((TODAY()-VLOOKUP(A39,'VIP Signups'!$A$5:$B$204,2,FALSE)+1)/7,1)*7,D39+7),"Monthly",IFERROR(EDATE(VLOOKUP(A39,'VIP Signups'!$A$5:$B$204,2,FALSE),DATEDIF(VLOOKUP(A39,'VIP Signups'!$A$5:$B$204,2,FALSE),TODAY(),"M")+1),EDATE(D39,1)),"Quarterly",IFERROR(EDATE(VLOOKUP(A39,'VIP Signups'!$A$5:$B$204,2,FALSE),(INT(DATEDIF(VLOOKUP(A39,'VIP Signups'!$A$5:$B$204,2,FALSE),TODAY(),"M")/3)+1)*3),EDATE(D39,3)),"Yearly",IFERROR(EDATE(VLOOKUP(A39,'VIP Signups'!$A$5:$B$204,2,FALSE),(DATEDIF(VLOOKUP(A39,'VIP Signups'!$A$5:$B$204,2,FALSE),TODAY(),"Y")+1)*12),EDATE(D39,12)),"One-time","Used","Manual","Manual",""))</x:f>
      </x:c>
      <x:c r="I39" s="18" t="str">
        <x:f>IF(A39="","",IF(G39="Manual","Manual",IF(G39&gt;0,"Yes","No")))</x:f>
      </x:c>
      <x:c r="J39" s="18" t="str">
        <x:f>IF(A39="","",B39&amp;": "&amp;IF(I39="Yes","Available ("&amp;G39&amp;"/"&amp;IF(E39="",1,E39)&amp;" left)",IF(I39="Manual","Manual check",IF(ISNUMBER(H39),"0/"&amp;IF(E39="",1,E39)&amp;" left; resets "&amp;TEXT(H39,"yyyy-mm-dd"),"Used"))))</x:f>
      </x:c>
      <x:c r="K39" s="18"/>
      <x:c r="L39" s="18" t="str">
        <x:v>Yes</x:v>
      </x:c>
      <x:c r="M39" s="18" t="str">
        <x:f>IF(A39="","",A39&amp;"|"&amp;B39)</x:f>
      </x:c>
      <x:c r="N39" s="18"/>
    </x:row>
    <x:row r="40">
      <x:c r="A40" s="18"/>
      <x:c r="B40" s="18"/>
      <x:c r="C40" s="18"/>
      <x:c r="D40" s="19"/>
      <x:c r="E40" s="20"/>
      <x:c r="F40" s="20"/>
      <x:c r="G40" s="20" t="str">
        <x:f>IF(A40="","",IF(C40="Manual","Manual",MAX(0,IF(E40="",1,E40)-IF(OR(D40="",D40&lt;SWITCH(C40,"Daily",TODAY(),"Weekly",IFERROR(VLOOKUP(A40,'VIP Signups'!$A$5:$B$204,2,FALSE)+INT((TODAY()-VLOOKUP(A40,'VIP Signups'!$A$5:$B$204,2,FALSE))/7)*7,TODAY()),"Monthly",IFERROR(EDATE(VLOOKUP(A40,'VIP Signups'!$A$5:$B$204,2,FALSE),DATEDIF(VLOOKUP(A40,'VIP Signups'!$A$5:$B$204,2,FALSE),TODAY(),"M")),TODAY()),"Quarterly",IFERROR(EDATE(VLOOKUP(A40,'VIP Signups'!$A$5:$B$204,2,FALSE),INT(DATEDIF(VLOOKUP(A40,'VIP Signups'!$A$5:$B$204,2,FALSE),TODAY(),"M")/3)*3),TODAY()),"Yearly",IFERROR(EDATE(VLOOKUP(A40,'VIP Signups'!$A$5:$B$204,2,FALSE),DATEDIF(VLOOKUP(A40,'VIP Signups'!$A$5:$B$204,2,FALSE),TODAY(),"Y")*12),TODAY()),"One-time",IFERROR(VLOOKUP(A40,'VIP Signups'!$A$5:$B$204,2,FALSE),D40),"Manual",TODAY(),TODAY())),0,IF(F40="",0,F40)))))</x:f>
      </x:c>
      <x:c r="H40" s="19" t="str">
        <x:f>IF(A40="","",SWITCH(C40,"Daily",TODAY()+1,"Weekly",IFERROR(VLOOKUP(A40,'VIP Signups'!$A$5:$B$204,2,FALSE)+CEILING((TODAY()-VLOOKUP(A40,'VIP Signups'!$A$5:$B$204,2,FALSE)+1)/7,1)*7,D40+7),"Monthly",IFERROR(EDATE(VLOOKUP(A40,'VIP Signups'!$A$5:$B$204,2,FALSE),DATEDIF(VLOOKUP(A40,'VIP Signups'!$A$5:$B$204,2,FALSE),TODAY(),"M")+1),EDATE(D40,1)),"Quarterly",IFERROR(EDATE(VLOOKUP(A40,'VIP Signups'!$A$5:$B$204,2,FALSE),(INT(DATEDIF(VLOOKUP(A40,'VIP Signups'!$A$5:$B$204,2,FALSE),TODAY(),"M")/3)+1)*3),EDATE(D40,3)),"Yearly",IFERROR(EDATE(VLOOKUP(A40,'VIP Signups'!$A$5:$B$204,2,FALSE),(DATEDIF(VLOOKUP(A40,'VIP Signups'!$A$5:$B$204,2,FALSE),TODAY(),"Y")+1)*12),EDATE(D40,12)),"One-time","Used","Manual","Manual",""))</x:f>
      </x:c>
      <x:c r="I40" s="18" t="str">
        <x:f>IF(A40="","",IF(G40="Manual","Manual",IF(G40&gt;0,"Yes","No")))</x:f>
      </x:c>
      <x:c r="J40" s="18" t="str">
        <x:f>IF(A40="","",B40&amp;": "&amp;IF(I40="Yes","Available ("&amp;G40&amp;"/"&amp;IF(E40="",1,E40)&amp;" left)",IF(I40="Manual","Manual check",IF(ISNUMBER(H40),"0/"&amp;IF(E40="",1,E40)&amp;" left; resets "&amp;TEXT(H40,"yyyy-mm-dd"),"Used"))))</x:f>
      </x:c>
      <x:c r="K40" s="18"/>
      <x:c r="L40" s="18" t="str">
        <x:v>Yes</x:v>
      </x:c>
      <x:c r="M40" s="18" t="str">
        <x:f>IF(A40="","",A40&amp;"|"&amp;B40)</x:f>
      </x:c>
      <x:c r="N40" s="18"/>
    </x:row>
    <x:row r="41">
      <x:c r="A41" s="18"/>
      <x:c r="B41" s="18"/>
      <x:c r="C41" s="18"/>
      <x:c r="D41" s="19"/>
      <x:c r="E41" s="20"/>
      <x:c r="F41" s="20"/>
      <x:c r="G41" s="20" t="str">
        <x:f>IF(A41="","",IF(C41="Manual","Manual",MAX(0,IF(E41="",1,E41)-IF(OR(D41="",D41&lt;SWITCH(C41,"Daily",TODAY(),"Weekly",IFERROR(VLOOKUP(A41,'VIP Signups'!$A$5:$B$204,2,FALSE)+INT((TODAY()-VLOOKUP(A41,'VIP Signups'!$A$5:$B$204,2,FALSE))/7)*7,TODAY()),"Monthly",IFERROR(EDATE(VLOOKUP(A41,'VIP Signups'!$A$5:$B$204,2,FALSE),DATEDIF(VLOOKUP(A41,'VIP Signups'!$A$5:$B$204,2,FALSE),TODAY(),"M")),TODAY()),"Quarterly",IFERROR(EDATE(VLOOKUP(A41,'VIP Signups'!$A$5:$B$204,2,FALSE),INT(DATEDIF(VLOOKUP(A41,'VIP Signups'!$A$5:$B$204,2,FALSE),TODAY(),"M")/3)*3),TODAY()),"Yearly",IFERROR(EDATE(VLOOKUP(A41,'VIP Signups'!$A$5:$B$204,2,FALSE),DATEDIF(VLOOKUP(A41,'VIP Signups'!$A$5:$B$204,2,FALSE),TODAY(),"Y")*12),TODAY()),"One-time",IFERROR(VLOOKUP(A41,'VIP Signups'!$A$5:$B$204,2,FALSE),D41),"Manual",TODAY(),TODAY())),0,IF(F41="",0,F41)))))</x:f>
      </x:c>
      <x:c r="H41" s="19" t="str">
        <x:f>IF(A41="","",SWITCH(C41,"Daily",TODAY()+1,"Weekly",IFERROR(VLOOKUP(A41,'VIP Signups'!$A$5:$B$204,2,FALSE)+CEILING((TODAY()-VLOOKUP(A41,'VIP Signups'!$A$5:$B$204,2,FALSE)+1)/7,1)*7,D41+7),"Monthly",IFERROR(EDATE(VLOOKUP(A41,'VIP Signups'!$A$5:$B$204,2,FALSE),DATEDIF(VLOOKUP(A41,'VIP Signups'!$A$5:$B$204,2,FALSE),TODAY(),"M")+1),EDATE(D41,1)),"Quarterly",IFERROR(EDATE(VLOOKUP(A41,'VIP Signups'!$A$5:$B$204,2,FALSE),(INT(DATEDIF(VLOOKUP(A41,'VIP Signups'!$A$5:$B$204,2,FALSE),TODAY(),"M")/3)+1)*3),EDATE(D41,3)),"Yearly",IFERROR(EDATE(VLOOKUP(A41,'VIP Signups'!$A$5:$B$204,2,FALSE),(DATEDIF(VLOOKUP(A41,'VIP Signups'!$A$5:$B$204,2,FALSE),TODAY(),"Y")+1)*12),EDATE(D41,12)),"One-time","Used","Manual","Manual",""))</x:f>
      </x:c>
      <x:c r="I41" s="18" t="str">
        <x:f>IF(A41="","",IF(G41="Manual","Manual",IF(G41&gt;0,"Yes","No")))</x:f>
      </x:c>
      <x:c r="J41" s="18" t="str">
        <x:f>IF(A41="","",B41&amp;": "&amp;IF(I41="Yes","Available ("&amp;G41&amp;"/"&amp;IF(E41="",1,E41)&amp;" left)",IF(I41="Manual","Manual check",IF(ISNUMBER(H41),"0/"&amp;IF(E41="",1,E41)&amp;" left; resets "&amp;TEXT(H41,"yyyy-mm-dd"),"Used"))))</x:f>
      </x:c>
      <x:c r="K41" s="18"/>
      <x:c r="L41" s="18" t="str">
        <x:v>Yes</x:v>
      </x:c>
      <x:c r="M41" s="18" t="str">
        <x:f>IF(A41="","",A41&amp;"|"&amp;B41)</x:f>
      </x:c>
      <x:c r="N41" s="18"/>
    </x:row>
    <x:row r="42">
      <x:c r="A42" s="18"/>
      <x:c r="B42" s="18"/>
      <x:c r="C42" s="18"/>
      <x:c r="D42" s="19"/>
      <x:c r="E42" s="20"/>
      <x:c r="F42" s="20"/>
      <x:c r="G42" s="20" t="str">
        <x:f>IF(A42="","",IF(C42="Manual","Manual",MAX(0,IF(E42="",1,E42)-IF(OR(D42="",D42&lt;SWITCH(C42,"Daily",TODAY(),"Weekly",IFERROR(VLOOKUP(A42,'VIP Signups'!$A$5:$B$204,2,FALSE)+INT((TODAY()-VLOOKUP(A42,'VIP Signups'!$A$5:$B$204,2,FALSE))/7)*7,TODAY()),"Monthly",IFERROR(EDATE(VLOOKUP(A42,'VIP Signups'!$A$5:$B$204,2,FALSE),DATEDIF(VLOOKUP(A42,'VIP Signups'!$A$5:$B$204,2,FALSE),TODAY(),"M")),TODAY()),"Quarterly",IFERROR(EDATE(VLOOKUP(A42,'VIP Signups'!$A$5:$B$204,2,FALSE),INT(DATEDIF(VLOOKUP(A42,'VIP Signups'!$A$5:$B$204,2,FALSE),TODAY(),"M")/3)*3),TODAY()),"Yearly",IFERROR(EDATE(VLOOKUP(A42,'VIP Signups'!$A$5:$B$204,2,FALSE),DATEDIF(VLOOKUP(A42,'VIP Signups'!$A$5:$B$204,2,FALSE),TODAY(),"Y")*12),TODAY()),"One-time",IFERROR(VLOOKUP(A42,'VIP Signups'!$A$5:$B$204,2,FALSE),D42),"Manual",TODAY(),TODAY())),0,IF(F42="",0,F42)))))</x:f>
      </x:c>
      <x:c r="H42" s="19" t="str">
        <x:f>IF(A42="","",SWITCH(C42,"Daily",TODAY()+1,"Weekly",IFERROR(VLOOKUP(A42,'VIP Signups'!$A$5:$B$204,2,FALSE)+CEILING((TODAY()-VLOOKUP(A42,'VIP Signups'!$A$5:$B$204,2,FALSE)+1)/7,1)*7,D42+7),"Monthly",IFERROR(EDATE(VLOOKUP(A42,'VIP Signups'!$A$5:$B$204,2,FALSE),DATEDIF(VLOOKUP(A42,'VIP Signups'!$A$5:$B$204,2,FALSE),TODAY(),"M")+1),EDATE(D42,1)),"Quarterly",IFERROR(EDATE(VLOOKUP(A42,'VIP Signups'!$A$5:$B$204,2,FALSE),(INT(DATEDIF(VLOOKUP(A42,'VIP Signups'!$A$5:$B$204,2,FALSE),TODAY(),"M")/3)+1)*3),EDATE(D42,3)),"Yearly",IFERROR(EDATE(VLOOKUP(A42,'VIP Signups'!$A$5:$B$204,2,FALSE),(DATEDIF(VLOOKUP(A42,'VIP Signups'!$A$5:$B$204,2,FALSE),TODAY(),"Y")+1)*12),EDATE(D42,12)),"One-time","Used","Manual","Manual",""))</x:f>
      </x:c>
      <x:c r="I42" s="18" t="str">
        <x:f>IF(A42="","",IF(G42="Manual","Manual",IF(G42&gt;0,"Yes","No")))</x:f>
      </x:c>
      <x:c r="J42" s="18" t="str">
        <x:f>IF(A42="","",B42&amp;": "&amp;IF(I42="Yes","Available ("&amp;G42&amp;"/"&amp;IF(E42="",1,E42)&amp;" left)",IF(I42="Manual","Manual check",IF(ISNUMBER(H42),"0/"&amp;IF(E42="",1,E42)&amp;" left; resets "&amp;TEXT(H42,"yyyy-mm-dd"),"Used"))))</x:f>
      </x:c>
      <x:c r="K42" s="18"/>
      <x:c r="L42" s="18" t="str">
        <x:v>Yes</x:v>
      </x:c>
      <x:c r="M42" s="18" t="str">
        <x:f>IF(A42="","",A42&amp;"|"&amp;B42)</x:f>
      </x:c>
      <x:c r="N42" s="18"/>
    </x:row>
    <x:row r="43">
      <x:c r="A43" s="18"/>
      <x:c r="B43" s="18"/>
      <x:c r="C43" s="18"/>
      <x:c r="D43" s="19"/>
      <x:c r="E43" s="20"/>
      <x:c r="F43" s="20"/>
      <x:c r="G43" s="20" t="str">
        <x:f>IF(A43="","",IF(C43="Manual","Manual",MAX(0,IF(E43="",1,E43)-IF(OR(D43="",D43&lt;SWITCH(C43,"Daily",TODAY(),"Weekly",IFERROR(VLOOKUP(A43,'VIP Signups'!$A$5:$B$204,2,FALSE)+INT((TODAY()-VLOOKUP(A43,'VIP Signups'!$A$5:$B$204,2,FALSE))/7)*7,TODAY()),"Monthly",IFERROR(EDATE(VLOOKUP(A43,'VIP Signups'!$A$5:$B$204,2,FALSE),DATEDIF(VLOOKUP(A43,'VIP Signups'!$A$5:$B$204,2,FALSE),TODAY(),"M")),TODAY()),"Quarterly",IFERROR(EDATE(VLOOKUP(A43,'VIP Signups'!$A$5:$B$204,2,FALSE),INT(DATEDIF(VLOOKUP(A43,'VIP Signups'!$A$5:$B$204,2,FALSE),TODAY(),"M")/3)*3),TODAY()),"Yearly",IFERROR(EDATE(VLOOKUP(A43,'VIP Signups'!$A$5:$B$204,2,FALSE),DATEDIF(VLOOKUP(A43,'VIP Signups'!$A$5:$B$204,2,FALSE),TODAY(),"Y")*12),TODAY()),"One-time",IFERROR(VLOOKUP(A43,'VIP Signups'!$A$5:$B$204,2,FALSE),D43),"Manual",TODAY(),TODAY())),0,IF(F43="",0,F43)))))</x:f>
      </x:c>
      <x:c r="H43" s="19" t="str">
        <x:f>IF(A43="","",SWITCH(C43,"Daily",TODAY()+1,"Weekly",IFERROR(VLOOKUP(A43,'VIP Signups'!$A$5:$B$204,2,FALSE)+CEILING((TODAY()-VLOOKUP(A43,'VIP Signups'!$A$5:$B$204,2,FALSE)+1)/7,1)*7,D43+7),"Monthly",IFERROR(EDATE(VLOOKUP(A43,'VIP Signups'!$A$5:$B$204,2,FALSE),DATEDIF(VLOOKUP(A43,'VIP Signups'!$A$5:$B$204,2,FALSE),TODAY(),"M")+1),EDATE(D43,1)),"Quarterly",IFERROR(EDATE(VLOOKUP(A43,'VIP Signups'!$A$5:$B$204,2,FALSE),(INT(DATEDIF(VLOOKUP(A43,'VIP Signups'!$A$5:$B$204,2,FALSE),TODAY(),"M")/3)+1)*3),EDATE(D43,3)),"Yearly",IFERROR(EDATE(VLOOKUP(A43,'VIP Signups'!$A$5:$B$204,2,FALSE),(DATEDIF(VLOOKUP(A43,'VIP Signups'!$A$5:$B$204,2,FALSE),TODAY(),"Y")+1)*12),EDATE(D43,12)),"One-time","Used","Manual","Manual",""))</x:f>
      </x:c>
      <x:c r="I43" s="18" t="str">
        <x:f>IF(A43="","",IF(G43="Manual","Manual",IF(G43&gt;0,"Yes","No")))</x:f>
      </x:c>
      <x:c r="J43" s="18" t="str">
        <x:f>IF(A43="","",B43&amp;": "&amp;IF(I43="Yes","Available ("&amp;G43&amp;"/"&amp;IF(E43="",1,E43)&amp;" left)",IF(I43="Manual","Manual check",IF(ISNUMBER(H43),"0/"&amp;IF(E43="",1,E43)&amp;" left; resets "&amp;TEXT(H43,"yyyy-mm-dd"),"Used"))))</x:f>
      </x:c>
      <x:c r="K43" s="18"/>
      <x:c r="L43" s="18" t="str">
        <x:v>Yes</x:v>
      </x:c>
      <x:c r="M43" s="18" t="str">
        <x:f>IF(A43="","",A43&amp;"|"&amp;B43)</x:f>
      </x:c>
      <x:c r="N43" s="18"/>
    </x:row>
    <x:row r="44">
      <x:c r="A44" s="18"/>
      <x:c r="B44" s="18"/>
      <x:c r="C44" s="18"/>
      <x:c r="D44" s="19"/>
      <x:c r="E44" s="20"/>
      <x:c r="F44" s="20"/>
      <x:c r="G44" s="20" t="str">
        <x:f>IF(A44="","",IF(C44="Manual","Manual",MAX(0,IF(E44="",1,E44)-IF(OR(D44="",D44&lt;SWITCH(C44,"Daily",TODAY(),"Weekly",IFERROR(VLOOKUP(A44,'VIP Signups'!$A$5:$B$204,2,FALSE)+INT((TODAY()-VLOOKUP(A44,'VIP Signups'!$A$5:$B$204,2,FALSE))/7)*7,TODAY()),"Monthly",IFERROR(EDATE(VLOOKUP(A44,'VIP Signups'!$A$5:$B$204,2,FALSE),DATEDIF(VLOOKUP(A44,'VIP Signups'!$A$5:$B$204,2,FALSE),TODAY(),"M")),TODAY()),"Quarterly",IFERROR(EDATE(VLOOKUP(A44,'VIP Signups'!$A$5:$B$204,2,FALSE),INT(DATEDIF(VLOOKUP(A44,'VIP Signups'!$A$5:$B$204,2,FALSE),TODAY(),"M")/3)*3),TODAY()),"Yearly",IFERROR(EDATE(VLOOKUP(A44,'VIP Signups'!$A$5:$B$204,2,FALSE),DATEDIF(VLOOKUP(A44,'VIP Signups'!$A$5:$B$204,2,FALSE),TODAY(),"Y")*12),TODAY()),"One-time",IFERROR(VLOOKUP(A44,'VIP Signups'!$A$5:$B$204,2,FALSE),D44),"Manual",TODAY(),TODAY())),0,IF(F44="",0,F44)))))</x:f>
      </x:c>
      <x:c r="H44" s="19" t="str">
        <x:f>IF(A44="","",SWITCH(C44,"Daily",TODAY()+1,"Weekly",IFERROR(VLOOKUP(A44,'VIP Signups'!$A$5:$B$204,2,FALSE)+CEILING((TODAY()-VLOOKUP(A44,'VIP Signups'!$A$5:$B$204,2,FALSE)+1)/7,1)*7,D44+7),"Monthly",IFERROR(EDATE(VLOOKUP(A44,'VIP Signups'!$A$5:$B$204,2,FALSE),DATEDIF(VLOOKUP(A44,'VIP Signups'!$A$5:$B$204,2,FALSE),TODAY(),"M")+1),EDATE(D44,1)),"Quarterly",IFERROR(EDATE(VLOOKUP(A44,'VIP Signups'!$A$5:$B$204,2,FALSE),(INT(DATEDIF(VLOOKUP(A44,'VIP Signups'!$A$5:$B$204,2,FALSE),TODAY(),"M")/3)+1)*3),EDATE(D44,3)),"Yearly",IFERROR(EDATE(VLOOKUP(A44,'VIP Signups'!$A$5:$B$204,2,FALSE),(DATEDIF(VLOOKUP(A44,'VIP Signups'!$A$5:$B$204,2,FALSE),TODAY(),"Y")+1)*12),EDATE(D44,12)),"One-time","Used","Manual","Manual",""))</x:f>
      </x:c>
      <x:c r="I44" s="18" t="str">
        <x:f>IF(A44="","",IF(G44="Manual","Manual",IF(G44&gt;0,"Yes","No")))</x:f>
      </x:c>
      <x:c r="J44" s="18" t="str">
        <x:f>IF(A44="","",B44&amp;": "&amp;IF(I44="Yes","Available ("&amp;G44&amp;"/"&amp;IF(E44="",1,E44)&amp;" left)",IF(I44="Manual","Manual check",IF(ISNUMBER(H44),"0/"&amp;IF(E44="",1,E44)&amp;" left; resets "&amp;TEXT(H44,"yyyy-mm-dd"),"Used"))))</x:f>
      </x:c>
      <x:c r="K44" s="18"/>
      <x:c r="L44" s="18" t="str">
        <x:v>Yes</x:v>
      </x:c>
      <x:c r="M44" s="18" t="str">
        <x:f>IF(A44="","",A44&amp;"|"&amp;B44)</x:f>
      </x:c>
      <x:c r="N44" s="18"/>
    </x:row>
    <x:row r="45">
      <x:c r="A45" s="18"/>
      <x:c r="B45" s="18"/>
      <x:c r="C45" s="18"/>
      <x:c r="D45" s="19"/>
      <x:c r="E45" s="20"/>
      <x:c r="F45" s="20"/>
      <x:c r="G45" s="20" t="str">
        <x:f>IF(A45="","",IF(C45="Manual","Manual",MAX(0,IF(E45="",1,E45)-IF(OR(D45="",D45&lt;SWITCH(C45,"Daily",TODAY(),"Weekly",IFERROR(VLOOKUP(A45,'VIP Signups'!$A$5:$B$204,2,FALSE)+INT((TODAY()-VLOOKUP(A45,'VIP Signups'!$A$5:$B$204,2,FALSE))/7)*7,TODAY()),"Monthly",IFERROR(EDATE(VLOOKUP(A45,'VIP Signups'!$A$5:$B$204,2,FALSE),DATEDIF(VLOOKUP(A45,'VIP Signups'!$A$5:$B$204,2,FALSE),TODAY(),"M")),TODAY()),"Quarterly",IFERROR(EDATE(VLOOKUP(A45,'VIP Signups'!$A$5:$B$204,2,FALSE),INT(DATEDIF(VLOOKUP(A45,'VIP Signups'!$A$5:$B$204,2,FALSE),TODAY(),"M")/3)*3),TODAY()),"Yearly",IFERROR(EDATE(VLOOKUP(A45,'VIP Signups'!$A$5:$B$204,2,FALSE),DATEDIF(VLOOKUP(A45,'VIP Signups'!$A$5:$B$204,2,FALSE),TODAY(),"Y")*12),TODAY()),"One-time",IFERROR(VLOOKUP(A45,'VIP Signups'!$A$5:$B$204,2,FALSE),D45),"Manual",TODAY(),TODAY())),0,IF(F45="",0,F45)))))</x:f>
      </x:c>
      <x:c r="H45" s="19" t="str">
        <x:f>IF(A45="","",SWITCH(C45,"Daily",TODAY()+1,"Weekly",IFERROR(VLOOKUP(A45,'VIP Signups'!$A$5:$B$204,2,FALSE)+CEILING((TODAY()-VLOOKUP(A45,'VIP Signups'!$A$5:$B$204,2,FALSE)+1)/7,1)*7,D45+7),"Monthly",IFERROR(EDATE(VLOOKUP(A45,'VIP Signups'!$A$5:$B$204,2,FALSE),DATEDIF(VLOOKUP(A45,'VIP Signups'!$A$5:$B$204,2,FALSE),TODAY(),"M")+1),EDATE(D45,1)),"Quarterly",IFERROR(EDATE(VLOOKUP(A45,'VIP Signups'!$A$5:$B$204,2,FALSE),(INT(DATEDIF(VLOOKUP(A45,'VIP Signups'!$A$5:$B$204,2,FALSE),TODAY(),"M")/3)+1)*3),EDATE(D45,3)),"Yearly",IFERROR(EDATE(VLOOKUP(A45,'VIP Signups'!$A$5:$B$204,2,FALSE),(DATEDIF(VLOOKUP(A45,'VIP Signups'!$A$5:$B$204,2,FALSE),TODAY(),"Y")+1)*12),EDATE(D45,12)),"One-time","Used","Manual","Manual",""))</x:f>
      </x:c>
      <x:c r="I45" s="18" t="str">
        <x:f>IF(A45="","",IF(G45="Manual","Manual",IF(G45&gt;0,"Yes","No")))</x:f>
      </x:c>
      <x:c r="J45" s="18" t="str">
        <x:f>IF(A45="","",B45&amp;": "&amp;IF(I45="Yes","Available ("&amp;G45&amp;"/"&amp;IF(E45="",1,E45)&amp;" left)",IF(I45="Manual","Manual check",IF(ISNUMBER(H45),"0/"&amp;IF(E45="",1,E45)&amp;" left; resets "&amp;TEXT(H45,"yyyy-mm-dd"),"Used"))))</x:f>
      </x:c>
      <x:c r="K45" s="18"/>
      <x:c r="L45" s="18" t="str">
        <x:v>Yes</x:v>
      </x:c>
      <x:c r="M45" s="18" t="str">
        <x:f>IF(A45="","",A45&amp;"|"&amp;B45)</x:f>
      </x:c>
      <x:c r="N45" s="18"/>
    </x:row>
    <x:row r="46">
      <x:c r="A46" s="18"/>
      <x:c r="B46" s="18"/>
      <x:c r="C46" s="18"/>
      <x:c r="D46" s="19"/>
      <x:c r="E46" s="20"/>
      <x:c r="F46" s="20"/>
      <x:c r="G46" s="20" t="str">
        <x:f>IF(A46="","",IF(C46="Manual","Manual",MAX(0,IF(E46="",1,E46)-IF(OR(D46="",D46&lt;SWITCH(C46,"Daily",TODAY(),"Weekly",IFERROR(VLOOKUP(A46,'VIP Signups'!$A$5:$B$204,2,FALSE)+INT((TODAY()-VLOOKUP(A46,'VIP Signups'!$A$5:$B$204,2,FALSE))/7)*7,TODAY()),"Monthly",IFERROR(EDATE(VLOOKUP(A46,'VIP Signups'!$A$5:$B$204,2,FALSE),DATEDIF(VLOOKUP(A46,'VIP Signups'!$A$5:$B$204,2,FALSE),TODAY(),"M")),TODAY()),"Quarterly",IFERROR(EDATE(VLOOKUP(A46,'VIP Signups'!$A$5:$B$204,2,FALSE),INT(DATEDIF(VLOOKUP(A46,'VIP Signups'!$A$5:$B$204,2,FALSE),TODAY(),"M")/3)*3),TODAY()),"Yearly",IFERROR(EDATE(VLOOKUP(A46,'VIP Signups'!$A$5:$B$204,2,FALSE),DATEDIF(VLOOKUP(A46,'VIP Signups'!$A$5:$B$204,2,FALSE),TODAY(),"Y")*12),TODAY()),"One-time",IFERROR(VLOOKUP(A46,'VIP Signups'!$A$5:$B$204,2,FALSE),D46),"Manual",TODAY(),TODAY())),0,IF(F46="",0,F46)))))</x:f>
      </x:c>
      <x:c r="H46" s="19" t="str">
        <x:f>IF(A46="","",SWITCH(C46,"Daily",TODAY()+1,"Weekly",IFERROR(VLOOKUP(A46,'VIP Signups'!$A$5:$B$204,2,FALSE)+CEILING((TODAY()-VLOOKUP(A46,'VIP Signups'!$A$5:$B$204,2,FALSE)+1)/7,1)*7,D46+7),"Monthly",IFERROR(EDATE(VLOOKUP(A46,'VIP Signups'!$A$5:$B$204,2,FALSE),DATEDIF(VLOOKUP(A46,'VIP Signups'!$A$5:$B$204,2,FALSE),TODAY(),"M")+1),EDATE(D46,1)),"Quarterly",IFERROR(EDATE(VLOOKUP(A46,'VIP Signups'!$A$5:$B$204,2,FALSE),(INT(DATEDIF(VLOOKUP(A46,'VIP Signups'!$A$5:$B$204,2,FALSE),TODAY(),"M")/3)+1)*3),EDATE(D46,3)),"Yearly",IFERROR(EDATE(VLOOKUP(A46,'VIP Signups'!$A$5:$B$204,2,FALSE),(DATEDIF(VLOOKUP(A46,'VIP Signups'!$A$5:$B$204,2,FALSE),TODAY(),"Y")+1)*12),EDATE(D46,12)),"One-time","Used","Manual","Manual",""))</x:f>
      </x:c>
      <x:c r="I46" s="18" t="str">
        <x:f>IF(A46="","",IF(G46="Manual","Manual",IF(G46&gt;0,"Yes","No")))</x:f>
      </x:c>
      <x:c r="J46" s="18" t="str">
        <x:f>IF(A46="","",B46&amp;": "&amp;IF(I46="Yes","Available ("&amp;G46&amp;"/"&amp;IF(E46="",1,E46)&amp;" left)",IF(I46="Manual","Manual check",IF(ISNUMBER(H46),"0/"&amp;IF(E46="",1,E46)&amp;" left; resets "&amp;TEXT(H46,"yyyy-mm-dd"),"Used"))))</x:f>
      </x:c>
      <x:c r="K46" s="18"/>
      <x:c r="L46" s="18" t="str">
        <x:v>Yes</x:v>
      </x:c>
      <x:c r="M46" s="18" t="str">
        <x:f>IF(A46="","",A46&amp;"|"&amp;B46)</x:f>
      </x:c>
      <x:c r="N46" s="18"/>
    </x:row>
    <x:row r="47">
      <x:c r="A47" s="18"/>
      <x:c r="B47" s="18"/>
      <x:c r="C47" s="18"/>
      <x:c r="D47" s="19"/>
      <x:c r="E47" s="20"/>
      <x:c r="F47" s="20"/>
      <x:c r="G47" s="20" t="str">
        <x:f>IF(A47="","",IF(C47="Manual","Manual",MAX(0,IF(E47="",1,E47)-IF(OR(D47="",D47&lt;SWITCH(C47,"Daily",TODAY(),"Weekly",IFERROR(VLOOKUP(A47,'VIP Signups'!$A$5:$B$204,2,FALSE)+INT((TODAY()-VLOOKUP(A47,'VIP Signups'!$A$5:$B$204,2,FALSE))/7)*7,TODAY()),"Monthly",IFERROR(EDATE(VLOOKUP(A47,'VIP Signups'!$A$5:$B$204,2,FALSE),DATEDIF(VLOOKUP(A47,'VIP Signups'!$A$5:$B$204,2,FALSE),TODAY(),"M")),TODAY()),"Quarterly",IFERROR(EDATE(VLOOKUP(A47,'VIP Signups'!$A$5:$B$204,2,FALSE),INT(DATEDIF(VLOOKUP(A47,'VIP Signups'!$A$5:$B$204,2,FALSE),TODAY(),"M")/3)*3),TODAY()),"Yearly",IFERROR(EDATE(VLOOKUP(A47,'VIP Signups'!$A$5:$B$204,2,FALSE),DATEDIF(VLOOKUP(A47,'VIP Signups'!$A$5:$B$204,2,FALSE),TODAY(),"Y")*12),TODAY()),"One-time",IFERROR(VLOOKUP(A47,'VIP Signups'!$A$5:$B$204,2,FALSE),D47),"Manual",TODAY(),TODAY())),0,IF(F47="",0,F47)))))</x:f>
      </x:c>
      <x:c r="H47" s="19" t="str">
        <x:f>IF(A47="","",SWITCH(C47,"Daily",TODAY()+1,"Weekly",IFERROR(VLOOKUP(A47,'VIP Signups'!$A$5:$B$204,2,FALSE)+CEILING((TODAY()-VLOOKUP(A47,'VIP Signups'!$A$5:$B$204,2,FALSE)+1)/7,1)*7,D47+7),"Monthly",IFERROR(EDATE(VLOOKUP(A47,'VIP Signups'!$A$5:$B$204,2,FALSE),DATEDIF(VLOOKUP(A47,'VIP Signups'!$A$5:$B$204,2,FALSE),TODAY(),"M")+1),EDATE(D47,1)),"Quarterly",IFERROR(EDATE(VLOOKUP(A47,'VIP Signups'!$A$5:$B$204,2,FALSE),(INT(DATEDIF(VLOOKUP(A47,'VIP Signups'!$A$5:$B$204,2,FALSE),TODAY(),"M")/3)+1)*3),EDATE(D47,3)),"Yearly",IFERROR(EDATE(VLOOKUP(A47,'VIP Signups'!$A$5:$B$204,2,FALSE),(DATEDIF(VLOOKUP(A47,'VIP Signups'!$A$5:$B$204,2,FALSE),TODAY(),"Y")+1)*12),EDATE(D47,12)),"One-time","Used","Manual","Manual",""))</x:f>
      </x:c>
      <x:c r="I47" s="18" t="str">
        <x:f>IF(A47="","",IF(G47="Manual","Manual",IF(G47&gt;0,"Yes","No")))</x:f>
      </x:c>
      <x:c r="J47" s="18" t="str">
        <x:f>IF(A47="","",B47&amp;": "&amp;IF(I47="Yes","Available ("&amp;G47&amp;"/"&amp;IF(E47="",1,E47)&amp;" left)",IF(I47="Manual","Manual check",IF(ISNUMBER(H47),"0/"&amp;IF(E47="",1,E47)&amp;" left; resets "&amp;TEXT(H47,"yyyy-mm-dd"),"Used"))))</x:f>
      </x:c>
      <x:c r="K47" s="18"/>
      <x:c r="L47" s="18" t="str">
        <x:v>Yes</x:v>
      </x:c>
      <x:c r="M47" s="18" t="str">
        <x:f>IF(A47="","",A47&amp;"|"&amp;B47)</x:f>
      </x:c>
      <x:c r="N47" s="18"/>
    </x:row>
    <x:row r="48">
      <x:c r="A48" s="18"/>
      <x:c r="B48" s="18"/>
      <x:c r="C48" s="18"/>
      <x:c r="D48" s="19"/>
      <x:c r="E48" s="20"/>
      <x:c r="F48" s="20"/>
      <x:c r="G48" s="20" t="str">
        <x:f>IF(A48="","",IF(C48="Manual","Manual",MAX(0,IF(E48="",1,E48)-IF(OR(D48="",D48&lt;SWITCH(C48,"Daily",TODAY(),"Weekly",IFERROR(VLOOKUP(A48,'VIP Signups'!$A$5:$B$204,2,FALSE)+INT((TODAY()-VLOOKUP(A48,'VIP Signups'!$A$5:$B$204,2,FALSE))/7)*7,TODAY()),"Monthly",IFERROR(EDATE(VLOOKUP(A48,'VIP Signups'!$A$5:$B$204,2,FALSE),DATEDIF(VLOOKUP(A48,'VIP Signups'!$A$5:$B$204,2,FALSE),TODAY(),"M")),TODAY()),"Quarterly",IFERROR(EDATE(VLOOKUP(A48,'VIP Signups'!$A$5:$B$204,2,FALSE),INT(DATEDIF(VLOOKUP(A48,'VIP Signups'!$A$5:$B$204,2,FALSE),TODAY(),"M")/3)*3),TODAY()),"Yearly",IFERROR(EDATE(VLOOKUP(A48,'VIP Signups'!$A$5:$B$204,2,FALSE),DATEDIF(VLOOKUP(A48,'VIP Signups'!$A$5:$B$204,2,FALSE),TODAY(),"Y")*12),TODAY()),"One-time",IFERROR(VLOOKUP(A48,'VIP Signups'!$A$5:$B$204,2,FALSE),D48),"Manual",TODAY(),TODAY())),0,IF(F48="",0,F48)))))</x:f>
      </x:c>
      <x:c r="H48" s="19" t="str">
        <x:f>IF(A48="","",SWITCH(C48,"Daily",TODAY()+1,"Weekly",IFERROR(VLOOKUP(A48,'VIP Signups'!$A$5:$B$204,2,FALSE)+CEILING((TODAY()-VLOOKUP(A48,'VIP Signups'!$A$5:$B$204,2,FALSE)+1)/7,1)*7,D48+7),"Monthly",IFERROR(EDATE(VLOOKUP(A48,'VIP Signups'!$A$5:$B$204,2,FALSE),DATEDIF(VLOOKUP(A48,'VIP Signups'!$A$5:$B$204,2,FALSE),TODAY(),"M")+1),EDATE(D48,1)),"Quarterly",IFERROR(EDATE(VLOOKUP(A48,'VIP Signups'!$A$5:$B$204,2,FALSE),(INT(DATEDIF(VLOOKUP(A48,'VIP Signups'!$A$5:$B$204,2,FALSE),TODAY(),"M")/3)+1)*3),EDATE(D48,3)),"Yearly",IFERROR(EDATE(VLOOKUP(A48,'VIP Signups'!$A$5:$B$204,2,FALSE),(DATEDIF(VLOOKUP(A48,'VIP Signups'!$A$5:$B$204,2,FALSE),TODAY(),"Y")+1)*12),EDATE(D48,12)),"One-time","Used","Manual","Manual",""))</x:f>
      </x:c>
      <x:c r="I48" s="18" t="str">
        <x:f>IF(A48="","",IF(G48="Manual","Manual",IF(G48&gt;0,"Yes","No")))</x:f>
      </x:c>
      <x:c r="J48" s="18" t="str">
        <x:f>IF(A48="","",B48&amp;": "&amp;IF(I48="Yes","Available ("&amp;G48&amp;"/"&amp;IF(E48="",1,E48)&amp;" left)",IF(I48="Manual","Manual check",IF(ISNUMBER(H48),"0/"&amp;IF(E48="",1,E48)&amp;" left; resets "&amp;TEXT(H48,"yyyy-mm-dd"),"Used"))))</x:f>
      </x:c>
      <x:c r="K48" s="18"/>
      <x:c r="L48" s="18" t="str">
        <x:v>Yes</x:v>
      </x:c>
      <x:c r="M48" s="18" t="str">
        <x:f>IF(A48="","",A48&amp;"|"&amp;B48)</x:f>
      </x:c>
      <x:c r="N48" s="18"/>
    </x:row>
    <x:row r="49">
      <x:c r="A49" s="18"/>
      <x:c r="B49" s="18"/>
      <x:c r="C49" s="18"/>
      <x:c r="D49" s="19"/>
      <x:c r="E49" s="20"/>
      <x:c r="F49" s="20"/>
      <x:c r="G49" s="20" t="str">
        <x:f>IF(A49="","",IF(C49="Manual","Manual",MAX(0,IF(E49="",1,E49)-IF(OR(D49="",D49&lt;SWITCH(C49,"Daily",TODAY(),"Weekly",IFERROR(VLOOKUP(A49,'VIP Signups'!$A$5:$B$204,2,FALSE)+INT((TODAY()-VLOOKUP(A49,'VIP Signups'!$A$5:$B$204,2,FALSE))/7)*7,TODAY()),"Monthly",IFERROR(EDATE(VLOOKUP(A49,'VIP Signups'!$A$5:$B$204,2,FALSE),DATEDIF(VLOOKUP(A49,'VIP Signups'!$A$5:$B$204,2,FALSE),TODAY(),"M")),TODAY()),"Quarterly",IFERROR(EDATE(VLOOKUP(A49,'VIP Signups'!$A$5:$B$204,2,FALSE),INT(DATEDIF(VLOOKUP(A49,'VIP Signups'!$A$5:$B$204,2,FALSE),TODAY(),"M")/3)*3),TODAY()),"Yearly",IFERROR(EDATE(VLOOKUP(A49,'VIP Signups'!$A$5:$B$204,2,FALSE),DATEDIF(VLOOKUP(A49,'VIP Signups'!$A$5:$B$204,2,FALSE),TODAY(),"Y")*12),TODAY()),"One-time",IFERROR(VLOOKUP(A49,'VIP Signups'!$A$5:$B$204,2,FALSE),D49),"Manual",TODAY(),TODAY())),0,IF(F49="",0,F49)))))</x:f>
      </x:c>
      <x:c r="H49" s="19" t="str">
        <x:f>IF(A49="","",SWITCH(C49,"Daily",TODAY()+1,"Weekly",IFERROR(VLOOKUP(A49,'VIP Signups'!$A$5:$B$204,2,FALSE)+CEILING((TODAY()-VLOOKUP(A49,'VIP Signups'!$A$5:$B$204,2,FALSE)+1)/7,1)*7,D49+7),"Monthly",IFERROR(EDATE(VLOOKUP(A49,'VIP Signups'!$A$5:$B$204,2,FALSE),DATEDIF(VLOOKUP(A49,'VIP Signups'!$A$5:$B$204,2,FALSE),TODAY(),"M")+1),EDATE(D49,1)),"Quarterly",IFERROR(EDATE(VLOOKUP(A49,'VIP Signups'!$A$5:$B$204,2,FALSE),(INT(DATEDIF(VLOOKUP(A49,'VIP Signups'!$A$5:$B$204,2,FALSE),TODAY(),"M")/3)+1)*3),EDATE(D49,3)),"Yearly",IFERROR(EDATE(VLOOKUP(A49,'VIP Signups'!$A$5:$B$204,2,FALSE),(DATEDIF(VLOOKUP(A49,'VIP Signups'!$A$5:$B$204,2,FALSE),TODAY(),"Y")+1)*12),EDATE(D49,12)),"One-time","Used","Manual","Manual",""))</x:f>
      </x:c>
      <x:c r="I49" s="18" t="str">
        <x:f>IF(A49="","",IF(G49="Manual","Manual",IF(G49&gt;0,"Yes","No")))</x:f>
      </x:c>
      <x:c r="J49" s="18" t="str">
        <x:f>IF(A49="","",B49&amp;": "&amp;IF(I49="Yes","Available ("&amp;G49&amp;"/"&amp;IF(E49="",1,E49)&amp;" left)",IF(I49="Manual","Manual check",IF(ISNUMBER(H49),"0/"&amp;IF(E49="",1,E49)&amp;" left; resets "&amp;TEXT(H49,"yyyy-mm-dd"),"Used"))))</x:f>
      </x:c>
      <x:c r="K49" s="18"/>
      <x:c r="L49" s="18" t="str">
        <x:v>Yes</x:v>
      </x:c>
      <x:c r="M49" s="18" t="str">
        <x:f>IF(A49="","",A49&amp;"|"&amp;B49)</x:f>
      </x:c>
      <x:c r="N49" s="18"/>
    </x:row>
    <x:row r="50">
      <x:c r="A50" s="18"/>
      <x:c r="B50" s="18"/>
      <x:c r="C50" s="18"/>
      <x:c r="D50" s="19"/>
      <x:c r="E50" s="20"/>
      <x:c r="F50" s="20"/>
      <x:c r="G50" s="20" t="str">
        <x:f>IF(A50="","",IF(C50="Manual","Manual",MAX(0,IF(E50="",1,E50)-IF(OR(D50="",D50&lt;SWITCH(C50,"Daily",TODAY(),"Weekly",IFERROR(VLOOKUP(A50,'VIP Signups'!$A$5:$B$204,2,FALSE)+INT((TODAY()-VLOOKUP(A50,'VIP Signups'!$A$5:$B$204,2,FALSE))/7)*7,TODAY()),"Monthly",IFERROR(EDATE(VLOOKUP(A50,'VIP Signups'!$A$5:$B$204,2,FALSE),DATEDIF(VLOOKUP(A50,'VIP Signups'!$A$5:$B$204,2,FALSE),TODAY(),"M")),TODAY()),"Quarterly",IFERROR(EDATE(VLOOKUP(A50,'VIP Signups'!$A$5:$B$204,2,FALSE),INT(DATEDIF(VLOOKUP(A50,'VIP Signups'!$A$5:$B$204,2,FALSE),TODAY(),"M")/3)*3),TODAY()),"Yearly",IFERROR(EDATE(VLOOKUP(A50,'VIP Signups'!$A$5:$B$204,2,FALSE),DATEDIF(VLOOKUP(A50,'VIP Signups'!$A$5:$B$204,2,FALSE),TODAY(),"Y")*12),TODAY()),"One-time",IFERROR(VLOOKUP(A50,'VIP Signups'!$A$5:$B$204,2,FALSE),D50),"Manual",TODAY(),TODAY())),0,IF(F50="",0,F50)))))</x:f>
      </x:c>
      <x:c r="H50" s="19" t="str">
        <x:f>IF(A50="","",SWITCH(C50,"Daily",TODAY()+1,"Weekly",IFERROR(VLOOKUP(A50,'VIP Signups'!$A$5:$B$204,2,FALSE)+CEILING((TODAY()-VLOOKUP(A50,'VIP Signups'!$A$5:$B$204,2,FALSE)+1)/7,1)*7,D50+7),"Monthly",IFERROR(EDATE(VLOOKUP(A50,'VIP Signups'!$A$5:$B$204,2,FALSE),DATEDIF(VLOOKUP(A50,'VIP Signups'!$A$5:$B$204,2,FALSE),TODAY(),"M")+1),EDATE(D50,1)),"Quarterly",IFERROR(EDATE(VLOOKUP(A50,'VIP Signups'!$A$5:$B$204,2,FALSE),(INT(DATEDIF(VLOOKUP(A50,'VIP Signups'!$A$5:$B$204,2,FALSE),TODAY(),"M")/3)+1)*3),EDATE(D50,3)),"Yearly",IFERROR(EDATE(VLOOKUP(A50,'VIP Signups'!$A$5:$B$204,2,FALSE),(DATEDIF(VLOOKUP(A50,'VIP Signups'!$A$5:$B$204,2,FALSE),TODAY(),"Y")+1)*12),EDATE(D50,12)),"One-time","Used","Manual","Manual",""))</x:f>
      </x:c>
      <x:c r="I50" s="18" t="str">
        <x:f>IF(A50="","",IF(G50="Manual","Manual",IF(G50&gt;0,"Yes","No")))</x:f>
      </x:c>
      <x:c r="J50" s="18" t="str">
        <x:f>IF(A50="","",B50&amp;": "&amp;IF(I50="Yes","Available ("&amp;G50&amp;"/"&amp;IF(E50="",1,E50)&amp;" left)",IF(I50="Manual","Manual check",IF(ISNUMBER(H50),"0/"&amp;IF(E50="",1,E50)&amp;" left; resets "&amp;TEXT(H50,"yyyy-mm-dd"),"Used"))))</x:f>
      </x:c>
      <x:c r="K50" s="18"/>
      <x:c r="L50" s="18" t="str">
        <x:v>Yes</x:v>
      </x:c>
      <x:c r="M50" s="18" t="str">
        <x:f>IF(A50="","",A50&amp;"|"&amp;B50)</x:f>
      </x:c>
      <x:c r="N50" s="18"/>
    </x:row>
    <x:row r="51">
      <x:c r="A51" s="18"/>
      <x:c r="B51" s="18"/>
      <x:c r="C51" s="18"/>
      <x:c r="D51" s="19"/>
      <x:c r="E51" s="20"/>
      <x:c r="F51" s="20"/>
      <x:c r="G51" s="20" t="str">
        <x:f>IF(A51="","",IF(C51="Manual","Manual",MAX(0,IF(E51="",1,E51)-IF(OR(D51="",D51&lt;SWITCH(C51,"Daily",TODAY(),"Weekly",IFERROR(VLOOKUP(A51,'VIP Signups'!$A$5:$B$204,2,FALSE)+INT((TODAY()-VLOOKUP(A51,'VIP Signups'!$A$5:$B$204,2,FALSE))/7)*7,TODAY()),"Monthly",IFERROR(EDATE(VLOOKUP(A51,'VIP Signups'!$A$5:$B$204,2,FALSE),DATEDIF(VLOOKUP(A51,'VIP Signups'!$A$5:$B$204,2,FALSE),TODAY(),"M")),TODAY()),"Quarterly",IFERROR(EDATE(VLOOKUP(A51,'VIP Signups'!$A$5:$B$204,2,FALSE),INT(DATEDIF(VLOOKUP(A51,'VIP Signups'!$A$5:$B$204,2,FALSE),TODAY(),"M")/3)*3),TODAY()),"Yearly",IFERROR(EDATE(VLOOKUP(A51,'VIP Signups'!$A$5:$B$204,2,FALSE),DATEDIF(VLOOKUP(A51,'VIP Signups'!$A$5:$B$204,2,FALSE),TODAY(),"Y")*12),TODAY()),"One-time",IFERROR(VLOOKUP(A51,'VIP Signups'!$A$5:$B$204,2,FALSE),D51),"Manual",TODAY(),TODAY())),0,IF(F51="",0,F51)))))</x:f>
      </x:c>
      <x:c r="H51" s="19" t="str">
        <x:f>IF(A51="","",SWITCH(C51,"Daily",TODAY()+1,"Weekly",IFERROR(VLOOKUP(A51,'VIP Signups'!$A$5:$B$204,2,FALSE)+CEILING((TODAY()-VLOOKUP(A51,'VIP Signups'!$A$5:$B$204,2,FALSE)+1)/7,1)*7,D51+7),"Monthly",IFERROR(EDATE(VLOOKUP(A51,'VIP Signups'!$A$5:$B$204,2,FALSE),DATEDIF(VLOOKUP(A51,'VIP Signups'!$A$5:$B$204,2,FALSE),TODAY(),"M")+1),EDATE(D51,1)),"Quarterly",IFERROR(EDATE(VLOOKUP(A51,'VIP Signups'!$A$5:$B$204,2,FALSE),(INT(DATEDIF(VLOOKUP(A51,'VIP Signups'!$A$5:$B$204,2,FALSE),TODAY(),"M")/3)+1)*3),EDATE(D51,3)),"Yearly",IFERROR(EDATE(VLOOKUP(A51,'VIP Signups'!$A$5:$B$204,2,FALSE),(DATEDIF(VLOOKUP(A51,'VIP Signups'!$A$5:$B$204,2,FALSE),TODAY(),"Y")+1)*12),EDATE(D51,12)),"One-time","Used","Manual","Manual",""))</x:f>
      </x:c>
      <x:c r="I51" s="18" t="str">
        <x:f>IF(A51="","",IF(G51="Manual","Manual",IF(G51&gt;0,"Yes","No")))</x:f>
      </x:c>
      <x:c r="J51" s="18" t="str">
        <x:f>IF(A51="","",B51&amp;": "&amp;IF(I51="Yes","Available ("&amp;G51&amp;"/"&amp;IF(E51="",1,E51)&amp;" left)",IF(I51="Manual","Manual check",IF(ISNUMBER(H51),"0/"&amp;IF(E51="",1,E51)&amp;" left; resets "&amp;TEXT(H51,"yyyy-mm-dd"),"Used"))))</x:f>
      </x:c>
      <x:c r="K51" s="18"/>
      <x:c r="L51" s="18" t="str">
        <x:v>Yes</x:v>
      </x:c>
      <x:c r="M51" s="18" t="str">
        <x:f>IF(A51="","",A51&amp;"|"&amp;B51)</x:f>
      </x:c>
      <x:c r="N51" s="18"/>
    </x:row>
    <x:row r="52">
      <x:c r="A52" s="18"/>
      <x:c r="B52" s="18"/>
      <x:c r="C52" s="18"/>
      <x:c r="D52" s="19"/>
      <x:c r="E52" s="20"/>
      <x:c r="F52" s="20"/>
      <x:c r="G52" s="20" t="str">
        <x:f>IF(A52="","",IF(C52="Manual","Manual",MAX(0,IF(E52="",1,E52)-IF(OR(D52="",D52&lt;SWITCH(C52,"Daily",TODAY(),"Weekly",IFERROR(VLOOKUP(A52,'VIP Signups'!$A$5:$B$204,2,FALSE)+INT((TODAY()-VLOOKUP(A52,'VIP Signups'!$A$5:$B$204,2,FALSE))/7)*7,TODAY()),"Monthly",IFERROR(EDATE(VLOOKUP(A52,'VIP Signups'!$A$5:$B$204,2,FALSE),DATEDIF(VLOOKUP(A52,'VIP Signups'!$A$5:$B$204,2,FALSE),TODAY(),"M")),TODAY()),"Quarterly",IFERROR(EDATE(VLOOKUP(A52,'VIP Signups'!$A$5:$B$204,2,FALSE),INT(DATEDIF(VLOOKUP(A52,'VIP Signups'!$A$5:$B$204,2,FALSE),TODAY(),"M")/3)*3),TODAY()),"Yearly",IFERROR(EDATE(VLOOKUP(A52,'VIP Signups'!$A$5:$B$204,2,FALSE),DATEDIF(VLOOKUP(A52,'VIP Signups'!$A$5:$B$204,2,FALSE),TODAY(),"Y")*12),TODAY()),"One-time",IFERROR(VLOOKUP(A52,'VIP Signups'!$A$5:$B$204,2,FALSE),D52),"Manual",TODAY(),TODAY())),0,IF(F52="",0,F52)))))</x:f>
      </x:c>
      <x:c r="H52" s="19" t="str">
        <x:f>IF(A52="","",SWITCH(C52,"Daily",TODAY()+1,"Weekly",IFERROR(VLOOKUP(A52,'VIP Signups'!$A$5:$B$204,2,FALSE)+CEILING((TODAY()-VLOOKUP(A52,'VIP Signups'!$A$5:$B$204,2,FALSE)+1)/7,1)*7,D52+7),"Monthly",IFERROR(EDATE(VLOOKUP(A52,'VIP Signups'!$A$5:$B$204,2,FALSE),DATEDIF(VLOOKUP(A52,'VIP Signups'!$A$5:$B$204,2,FALSE),TODAY(),"M")+1),EDATE(D52,1)),"Quarterly",IFERROR(EDATE(VLOOKUP(A52,'VIP Signups'!$A$5:$B$204,2,FALSE),(INT(DATEDIF(VLOOKUP(A52,'VIP Signups'!$A$5:$B$204,2,FALSE),TODAY(),"M")/3)+1)*3),EDATE(D52,3)),"Yearly",IFERROR(EDATE(VLOOKUP(A52,'VIP Signups'!$A$5:$B$204,2,FALSE),(DATEDIF(VLOOKUP(A52,'VIP Signups'!$A$5:$B$204,2,FALSE),TODAY(),"Y")+1)*12),EDATE(D52,12)),"One-time","Used","Manual","Manual",""))</x:f>
      </x:c>
      <x:c r="I52" s="18" t="str">
        <x:f>IF(A52="","",IF(G52="Manual","Manual",IF(G52&gt;0,"Yes","No")))</x:f>
      </x:c>
      <x:c r="J52" s="18" t="str">
        <x:f>IF(A52="","",B52&amp;": "&amp;IF(I52="Yes","Available ("&amp;G52&amp;"/"&amp;IF(E52="",1,E52)&amp;" left)",IF(I52="Manual","Manual check",IF(ISNUMBER(H52),"0/"&amp;IF(E52="",1,E52)&amp;" left; resets "&amp;TEXT(H52,"yyyy-mm-dd"),"Used"))))</x:f>
      </x:c>
      <x:c r="K52" s="18"/>
      <x:c r="L52" s="18" t="str">
        <x:v>Yes</x:v>
      </x:c>
      <x:c r="M52" s="18" t="str">
        <x:f>IF(A52="","",A52&amp;"|"&amp;B52)</x:f>
      </x:c>
      <x:c r="N52" s="18"/>
    </x:row>
    <x:row r="53">
      <x:c r="A53" s="18"/>
      <x:c r="B53" s="18"/>
      <x:c r="C53" s="18"/>
      <x:c r="D53" s="19"/>
      <x:c r="E53" s="20"/>
      <x:c r="F53" s="20"/>
      <x:c r="G53" s="20" t="str">
        <x:f>IF(A53="","",IF(C53="Manual","Manual",MAX(0,IF(E53="",1,E53)-IF(OR(D53="",D53&lt;SWITCH(C53,"Daily",TODAY(),"Weekly",IFERROR(VLOOKUP(A53,'VIP Signups'!$A$5:$B$204,2,FALSE)+INT((TODAY()-VLOOKUP(A53,'VIP Signups'!$A$5:$B$204,2,FALSE))/7)*7,TODAY()),"Monthly",IFERROR(EDATE(VLOOKUP(A53,'VIP Signups'!$A$5:$B$204,2,FALSE),DATEDIF(VLOOKUP(A53,'VIP Signups'!$A$5:$B$204,2,FALSE),TODAY(),"M")),TODAY()),"Quarterly",IFERROR(EDATE(VLOOKUP(A53,'VIP Signups'!$A$5:$B$204,2,FALSE),INT(DATEDIF(VLOOKUP(A53,'VIP Signups'!$A$5:$B$204,2,FALSE),TODAY(),"M")/3)*3),TODAY()),"Yearly",IFERROR(EDATE(VLOOKUP(A53,'VIP Signups'!$A$5:$B$204,2,FALSE),DATEDIF(VLOOKUP(A53,'VIP Signups'!$A$5:$B$204,2,FALSE),TODAY(),"Y")*12),TODAY()),"One-time",IFERROR(VLOOKUP(A53,'VIP Signups'!$A$5:$B$204,2,FALSE),D53),"Manual",TODAY(),TODAY())),0,IF(F53="",0,F53)))))</x:f>
      </x:c>
      <x:c r="H53" s="19" t="str">
        <x:f>IF(A53="","",SWITCH(C53,"Daily",TODAY()+1,"Weekly",IFERROR(VLOOKUP(A53,'VIP Signups'!$A$5:$B$204,2,FALSE)+CEILING((TODAY()-VLOOKUP(A53,'VIP Signups'!$A$5:$B$204,2,FALSE)+1)/7,1)*7,D53+7),"Monthly",IFERROR(EDATE(VLOOKUP(A53,'VIP Signups'!$A$5:$B$204,2,FALSE),DATEDIF(VLOOKUP(A53,'VIP Signups'!$A$5:$B$204,2,FALSE),TODAY(),"M")+1),EDATE(D53,1)),"Quarterly",IFERROR(EDATE(VLOOKUP(A53,'VIP Signups'!$A$5:$B$204,2,FALSE),(INT(DATEDIF(VLOOKUP(A53,'VIP Signups'!$A$5:$B$204,2,FALSE),TODAY(),"M")/3)+1)*3),EDATE(D53,3)),"Yearly",IFERROR(EDATE(VLOOKUP(A53,'VIP Signups'!$A$5:$B$204,2,FALSE),(DATEDIF(VLOOKUP(A53,'VIP Signups'!$A$5:$B$204,2,FALSE),TODAY(),"Y")+1)*12),EDATE(D53,12)),"One-time","Used","Manual","Manual",""))</x:f>
      </x:c>
      <x:c r="I53" s="18" t="str">
        <x:f>IF(A53="","",IF(G53="Manual","Manual",IF(G53&gt;0,"Yes","No")))</x:f>
      </x:c>
      <x:c r="J53" s="18" t="str">
        <x:f>IF(A53="","",B53&amp;": "&amp;IF(I53="Yes","Available ("&amp;G53&amp;"/"&amp;IF(E53="",1,E53)&amp;" left)",IF(I53="Manual","Manual check",IF(ISNUMBER(H53),"0/"&amp;IF(E53="",1,E53)&amp;" left; resets "&amp;TEXT(H53,"yyyy-mm-dd"),"Used"))))</x:f>
      </x:c>
      <x:c r="K53" s="18"/>
      <x:c r="L53" s="18" t="str">
        <x:v>Yes</x:v>
      </x:c>
      <x:c r="M53" s="18" t="str">
        <x:f>IF(A53="","",A53&amp;"|"&amp;B53)</x:f>
      </x:c>
      <x:c r="N53" s="18"/>
    </x:row>
    <x:row r="54">
      <x:c r="A54" s="18"/>
      <x:c r="B54" s="18"/>
      <x:c r="C54" s="18"/>
      <x:c r="D54" s="19"/>
      <x:c r="E54" s="20"/>
      <x:c r="F54" s="20"/>
      <x:c r="G54" s="20" t="str">
        <x:f>IF(A54="","",IF(C54="Manual","Manual",MAX(0,IF(E54="",1,E54)-IF(OR(D54="",D54&lt;SWITCH(C54,"Daily",TODAY(),"Weekly",IFERROR(VLOOKUP(A54,'VIP Signups'!$A$5:$B$204,2,FALSE)+INT((TODAY()-VLOOKUP(A54,'VIP Signups'!$A$5:$B$204,2,FALSE))/7)*7,TODAY()),"Monthly",IFERROR(EDATE(VLOOKUP(A54,'VIP Signups'!$A$5:$B$204,2,FALSE),DATEDIF(VLOOKUP(A54,'VIP Signups'!$A$5:$B$204,2,FALSE),TODAY(),"M")),TODAY()),"Quarterly",IFERROR(EDATE(VLOOKUP(A54,'VIP Signups'!$A$5:$B$204,2,FALSE),INT(DATEDIF(VLOOKUP(A54,'VIP Signups'!$A$5:$B$204,2,FALSE),TODAY(),"M")/3)*3),TODAY()),"Yearly",IFERROR(EDATE(VLOOKUP(A54,'VIP Signups'!$A$5:$B$204,2,FALSE),DATEDIF(VLOOKUP(A54,'VIP Signups'!$A$5:$B$204,2,FALSE),TODAY(),"Y")*12),TODAY()),"One-time",IFERROR(VLOOKUP(A54,'VIP Signups'!$A$5:$B$204,2,FALSE),D54),"Manual",TODAY(),TODAY())),0,IF(F54="",0,F54)))))</x:f>
      </x:c>
      <x:c r="H54" s="19" t="str">
        <x:f>IF(A54="","",SWITCH(C54,"Daily",TODAY()+1,"Weekly",IFERROR(VLOOKUP(A54,'VIP Signups'!$A$5:$B$204,2,FALSE)+CEILING((TODAY()-VLOOKUP(A54,'VIP Signups'!$A$5:$B$204,2,FALSE)+1)/7,1)*7,D54+7),"Monthly",IFERROR(EDATE(VLOOKUP(A54,'VIP Signups'!$A$5:$B$204,2,FALSE),DATEDIF(VLOOKUP(A54,'VIP Signups'!$A$5:$B$204,2,FALSE),TODAY(),"M")+1),EDATE(D54,1)),"Quarterly",IFERROR(EDATE(VLOOKUP(A54,'VIP Signups'!$A$5:$B$204,2,FALSE),(INT(DATEDIF(VLOOKUP(A54,'VIP Signups'!$A$5:$B$204,2,FALSE),TODAY(),"M")/3)+1)*3),EDATE(D54,3)),"Yearly",IFERROR(EDATE(VLOOKUP(A54,'VIP Signups'!$A$5:$B$204,2,FALSE),(DATEDIF(VLOOKUP(A54,'VIP Signups'!$A$5:$B$204,2,FALSE),TODAY(),"Y")+1)*12),EDATE(D54,12)),"One-time","Used","Manual","Manual",""))</x:f>
      </x:c>
      <x:c r="I54" s="18" t="str">
        <x:f>IF(A54="","",IF(G54="Manual","Manual",IF(G54&gt;0,"Yes","No")))</x:f>
      </x:c>
      <x:c r="J54" s="18" t="str">
        <x:f>IF(A54="","",B54&amp;": "&amp;IF(I54="Yes","Available ("&amp;G54&amp;"/"&amp;IF(E54="",1,E54)&amp;" left)",IF(I54="Manual","Manual check",IF(ISNUMBER(H54),"0/"&amp;IF(E54="",1,E54)&amp;" left; resets "&amp;TEXT(H54,"yyyy-mm-dd"),"Used"))))</x:f>
      </x:c>
      <x:c r="K54" s="18"/>
      <x:c r="L54" s="18" t="str">
        <x:v>Yes</x:v>
      </x:c>
      <x:c r="M54" s="18" t="str">
        <x:f>IF(A54="","",A54&amp;"|"&amp;B54)</x:f>
      </x:c>
      <x:c r="N54" s="18"/>
    </x:row>
    <x:row r="55">
      <x:c r="A55" s="18"/>
      <x:c r="B55" s="18"/>
      <x:c r="C55" s="18"/>
      <x:c r="D55" s="19"/>
      <x:c r="E55" s="20"/>
      <x:c r="F55" s="20"/>
      <x:c r="G55" s="20" t="str">
        <x:f>IF(A55="","",IF(C55="Manual","Manual",MAX(0,IF(E55="",1,E55)-IF(OR(D55="",D55&lt;SWITCH(C55,"Daily",TODAY(),"Weekly",IFERROR(VLOOKUP(A55,'VIP Signups'!$A$5:$B$204,2,FALSE)+INT((TODAY()-VLOOKUP(A55,'VIP Signups'!$A$5:$B$204,2,FALSE))/7)*7,TODAY()),"Monthly",IFERROR(EDATE(VLOOKUP(A55,'VIP Signups'!$A$5:$B$204,2,FALSE),DATEDIF(VLOOKUP(A55,'VIP Signups'!$A$5:$B$204,2,FALSE),TODAY(),"M")),TODAY()),"Quarterly",IFERROR(EDATE(VLOOKUP(A55,'VIP Signups'!$A$5:$B$204,2,FALSE),INT(DATEDIF(VLOOKUP(A55,'VIP Signups'!$A$5:$B$204,2,FALSE),TODAY(),"M")/3)*3),TODAY()),"Yearly",IFERROR(EDATE(VLOOKUP(A55,'VIP Signups'!$A$5:$B$204,2,FALSE),DATEDIF(VLOOKUP(A55,'VIP Signups'!$A$5:$B$204,2,FALSE),TODAY(),"Y")*12),TODAY()),"One-time",IFERROR(VLOOKUP(A55,'VIP Signups'!$A$5:$B$204,2,FALSE),D55),"Manual",TODAY(),TODAY())),0,IF(F55="",0,F55)))))</x:f>
      </x:c>
      <x:c r="H55" s="19" t="str">
        <x:f>IF(A55="","",SWITCH(C55,"Daily",TODAY()+1,"Weekly",IFERROR(VLOOKUP(A55,'VIP Signups'!$A$5:$B$204,2,FALSE)+CEILING((TODAY()-VLOOKUP(A55,'VIP Signups'!$A$5:$B$204,2,FALSE)+1)/7,1)*7,D55+7),"Monthly",IFERROR(EDATE(VLOOKUP(A55,'VIP Signups'!$A$5:$B$204,2,FALSE),DATEDIF(VLOOKUP(A55,'VIP Signups'!$A$5:$B$204,2,FALSE),TODAY(),"M")+1),EDATE(D55,1)),"Quarterly",IFERROR(EDATE(VLOOKUP(A55,'VIP Signups'!$A$5:$B$204,2,FALSE),(INT(DATEDIF(VLOOKUP(A55,'VIP Signups'!$A$5:$B$204,2,FALSE),TODAY(),"M")/3)+1)*3),EDATE(D55,3)),"Yearly",IFERROR(EDATE(VLOOKUP(A55,'VIP Signups'!$A$5:$B$204,2,FALSE),(DATEDIF(VLOOKUP(A55,'VIP Signups'!$A$5:$B$204,2,FALSE),TODAY(),"Y")+1)*12),EDATE(D55,12)),"One-time","Used","Manual","Manual",""))</x:f>
      </x:c>
      <x:c r="I55" s="18" t="str">
        <x:f>IF(A55="","",IF(G55="Manual","Manual",IF(G55&gt;0,"Yes","No")))</x:f>
      </x:c>
      <x:c r="J55" s="18" t="str">
        <x:f>IF(A55="","",B55&amp;": "&amp;IF(I55="Yes","Available ("&amp;G55&amp;"/"&amp;IF(E55="",1,E55)&amp;" left)",IF(I55="Manual","Manual check",IF(ISNUMBER(H55),"0/"&amp;IF(E55="",1,E55)&amp;" left; resets "&amp;TEXT(H55,"yyyy-mm-dd"),"Used"))))</x:f>
      </x:c>
      <x:c r="K55" s="18"/>
      <x:c r="L55" s="18" t="str">
        <x:v>Yes</x:v>
      </x:c>
      <x:c r="M55" s="18" t="str">
        <x:f>IF(A55="","",A55&amp;"|"&amp;B55)</x:f>
      </x:c>
      <x:c r="N55" s="18"/>
    </x:row>
    <x:row r="56">
      <x:c r="A56" s="18"/>
      <x:c r="B56" s="18"/>
      <x:c r="C56" s="18"/>
      <x:c r="D56" s="19"/>
      <x:c r="E56" s="20"/>
      <x:c r="F56" s="20"/>
      <x:c r="G56" s="20" t="str">
        <x:f>IF(A56="","",IF(C56="Manual","Manual",MAX(0,IF(E56="",1,E56)-IF(OR(D56="",D56&lt;SWITCH(C56,"Daily",TODAY(),"Weekly",IFERROR(VLOOKUP(A56,'VIP Signups'!$A$5:$B$204,2,FALSE)+INT((TODAY()-VLOOKUP(A56,'VIP Signups'!$A$5:$B$204,2,FALSE))/7)*7,TODAY()),"Monthly",IFERROR(EDATE(VLOOKUP(A56,'VIP Signups'!$A$5:$B$204,2,FALSE),DATEDIF(VLOOKUP(A56,'VIP Signups'!$A$5:$B$204,2,FALSE),TODAY(),"M")),TODAY()),"Quarterly",IFERROR(EDATE(VLOOKUP(A56,'VIP Signups'!$A$5:$B$204,2,FALSE),INT(DATEDIF(VLOOKUP(A56,'VIP Signups'!$A$5:$B$204,2,FALSE),TODAY(),"M")/3)*3),TODAY()),"Yearly",IFERROR(EDATE(VLOOKUP(A56,'VIP Signups'!$A$5:$B$204,2,FALSE),DATEDIF(VLOOKUP(A56,'VIP Signups'!$A$5:$B$204,2,FALSE),TODAY(),"Y")*12),TODAY()),"One-time",IFERROR(VLOOKUP(A56,'VIP Signups'!$A$5:$B$204,2,FALSE),D56),"Manual",TODAY(),TODAY())),0,IF(F56="",0,F56)))))</x:f>
      </x:c>
      <x:c r="H56" s="19" t="str">
        <x:f>IF(A56="","",SWITCH(C56,"Daily",TODAY()+1,"Weekly",IFERROR(VLOOKUP(A56,'VIP Signups'!$A$5:$B$204,2,FALSE)+CEILING((TODAY()-VLOOKUP(A56,'VIP Signups'!$A$5:$B$204,2,FALSE)+1)/7,1)*7,D56+7),"Monthly",IFERROR(EDATE(VLOOKUP(A56,'VIP Signups'!$A$5:$B$204,2,FALSE),DATEDIF(VLOOKUP(A56,'VIP Signups'!$A$5:$B$204,2,FALSE),TODAY(),"M")+1),EDATE(D56,1)),"Quarterly",IFERROR(EDATE(VLOOKUP(A56,'VIP Signups'!$A$5:$B$204,2,FALSE),(INT(DATEDIF(VLOOKUP(A56,'VIP Signups'!$A$5:$B$204,2,FALSE),TODAY(),"M")/3)+1)*3),EDATE(D56,3)),"Yearly",IFERROR(EDATE(VLOOKUP(A56,'VIP Signups'!$A$5:$B$204,2,FALSE),(DATEDIF(VLOOKUP(A56,'VIP Signups'!$A$5:$B$204,2,FALSE),TODAY(),"Y")+1)*12),EDATE(D56,12)),"One-time","Used","Manual","Manual",""))</x:f>
      </x:c>
      <x:c r="I56" s="18" t="str">
        <x:f>IF(A56="","",IF(G56="Manual","Manual",IF(G56&gt;0,"Yes","No")))</x:f>
      </x:c>
      <x:c r="J56" s="18" t="str">
        <x:f>IF(A56="","",B56&amp;": "&amp;IF(I56="Yes","Available ("&amp;G56&amp;"/"&amp;IF(E56="",1,E56)&amp;" left)",IF(I56="Manual","Manual check",IF(ISNUMBER(H56),"0/"&amp;IF(E56="",1,E56)&amp;" left; resets "&amp;TEXT(H56,"yyyy-mm-dd"),"Used"))))</x:f>
      </x:c>
      <x:c r="K56" s="18"/>
      <x:c r="L56" s="18" t="str">
        <x:v>Yes</x:v>
      </x:c>
      <x:c r="M56" s="18" t="str">
        <x:f>IF(A56="","",A56&amp;"|"&amp;B56)</x:f>
      </x:c>
      <x:c r="N56" s="18"/>
    </x:row>
    <x:row r="57">
      <x:c r="A57" s="18"/>
      <x:c r="B57" s="18"/>
      <x:c r="C57" s="18"/>
      <x:c r="D57" s="19"/>
      <x:c r="E57" s="20"/>
      <x:c r="F57" s="20"/>
      <x:c r="G57" s="20" t="str">
        <x:f>IF(A57="","",IF(C57="Manual","Manual",MAX(0,IF(E57="",1,E57)-IF(OR(D57="",D57&lt;SWITCH(C57,"Daily",TODAY(),"Weekly",IFERROR(VLOOKUP(A57,'VIP Signups'!$A$5:$B$204,2,FALSE)+INT((TODAY()-VLOOKUP(A57,'VIP Signups'!$A$5:$B$204,2,FALSE))/7)*7,TODAY()),"Monthly",IFERROR(EDATE(VLOOKUP(A57,'VIP Signups'!$A$5:$B$204,2,FALSE),DATEDIF(VLOOKUP(A57,'VIP Signups'!$A$5:$B$204,2,FALSE),TODAY(),"M")),TODAY()),"Quarterly",IFERROR(EDATE(VLOOKUP(A57,'VIP Signups'!$A$5:$B$204,2,FALSE),INT(DATEDIF(VLOOKUP(A57,'VIP Signups'!$A$5:$B$204,2,FALSE),TODAY(),"M")/3)*3),TODAY()),"Yearly",IFERROR(EDATE(VLOOKUP(A57,'VIP Signups'!$A$5:$B$204,2,FALSE),DATEDIF(VLOOKUP(A57,'VIP Signups'!$A$5:$B$204,2,FALSE),TODAY(),"Y")*12),TODAY()),"One-time",IFERROR(VLOOKUP(A57,'VIP Signups'!$A$5:$B$204,2,FALSE),D57),"Manual",TODAY(),TODAY())),0,IF(F57="",0,F57)))))</x:f>
      </x:c>
      <x:c r="H57" s="19" t="str">
        <x:f>IF(A57="","",SWITCH(C57,"Daily",TODAY()+1,"Weekly",IFERROR(VLOOKUP(A57,'VIP Signups'!$A$5:$B$204,2,FALSE)+CEILING((TODAY()-VLOOKUP(A57,'VIP Signups'!$A$5:$B$204,2,FALSE)+1)/7,1)*7,D57+7),"Monthly",IFERROR(EDATE(VLOOKUP(A57,'VIP Signups'!$A$5:$B$204,2,FALSE),DATEDIF(VLOOKUP(A57,'VIP Signups'!$A$5:$B$204,2,FALSE),TODAY(),"M")+1),EDATE(D57,1)),"Quarterly",IFERROR(EDATE(VLOOKUP(A57,'VIP Signups'!$A$5:$B$204,2,FALSE),(INT(DATEDIF(VLOOKUP(A57,'VIP Signups'!$A$5:$B$204,2,FALSE),TODAY(),"M")/3)+1)*3),EDATE(D57,3)),"Yearly",IFERROR(EDATE(VLOOKUP(A57,'VIP Signups'!$A$5:$B$204,2,FALSE),(DATEDIF(VLOOKUP(A57,'VIP Signups'!$A$5:$B$204,2,FALSE),TODAY(),"Y")+1)*12),EDATE(D57,12)),"One-time","Used","Manual","Manual",""))</x:f>
      </x:c>
      <x:c r="I57" s="18" t="str">
        <x:f>IF(A57="","",IF(G57="Manual","Manual",IF(G57&gt;0,"Yes","No")))</x:f>
      </x:c>
      <x:c r="J57" s="18" t="str">
        <x:f>IF(A57="","",B57&amp;": "&amp;IF(I57="Yes","Available ("&amp;G57&amp;"/"&amp;IF(E57="",1,E57)&amp;" left)",IF(I57="Manual","Manual check",IF(ISNUMBER(H57),"0/"&amp;IF(E57="",1,E57)&amp;" left; resets "&amp;TEXT(H57,"yyyy-mm-dd"),"Used"))))</x:f>
      </x:c>
      <x:c r="K57" s="18"/>
      <x:c r="L57" s="18" t="str">
        <x:v>Yes</x:v>
      </x:c>
      <x:c r="M57" s="18" t="str">
        <x:f>IF(A57="","",A57&amp;"|"&amp;B57)</x:f>
      </x:c>
      <x:c r="N57" s="18"/>
    </x:row>
    <x:row r="58">
      <x:c r="A58" s="18"/>
      <x:c r="B58" s="18"/>
      <x:c r="C58" s="18"/>
      <x:c r="D58" s="19"/>
      <x:c r="E58" s="20"/>
      <x:c r="F58" s="20"/>
      <x:c r="G58" s="20" t="str">
        <x:f>IF(A58="","",IF(C58="Manual","Manual",MAX(0,IF(E58="",1,E58)-IF(OR(D58="",D58&lt;SWITCH(C58,"Daily",TODAY(),"Weekly",IFERROR(VLOOKUP(A58,'VIP Signups'!$A$5:$B$204,2,FALSE)+INT((TODAY()-VLOOKUP(A58,'VIP Signups'!$A$5:$B$204,2,FALSE))/7)*7,TODAY()),"Monthly",IFERROR(EDATE(VLOOKUP(A58,'VIP Signups'!$A$5:$B$204,2,FALSE),DATEDIF(VLOOKUP(A58,'VIP Signups'!$A$5:$B$204,2,FALSE),TODAY(),"M")),TODAY()),"Quarterly",IFERROR(EDATE(VLOOKUP(A58,'VIP Signups'!$A$5:$B$204,2,FALSE),INT(DATEDIF(VLOOKUP(A58,'VIP Signups'!$A$5:$B$204,2,FALSE),TODAY(),"M")/3)*3),TODAY()),"Yearly",IFERROR(EDATE(VLOOKUP(A58,'VIP Signups'!$A$5:$B$204,2,FALSE),DATEDIF(VLOOKUP(A58,'VIP Signups'!$A$5:$B$204,2,FALSE),TODAY(),"Y")*12),TODAY()),"One-time",IFERROR(VLOOKUP(A58,'VIP Signups'!$A$5:$B$204,2,FALSE),D58),"Manual",TODAY(),TODAY())),0,IF(F58="",0,F58)))))</x:f>
      </x:c>
      <x:c r="H58" s="19" t="str">
        <x:f>IF(A58="","",SWITCH(C58,"Daily",TODAY()+1,"Weekly",IFERROR(VLOOKUP(A58,'VIP Signups'!$A$5:$B$204,2,FALSE)+CEILING((TODAY()-VLOOKUP(A58,'VIP Signups'!$A$5:$B$204,2,FALSE)+1)/7,1)*7,D58+7),"Monthly",IFERROR(EDATE(VLOOKUP(A58,'VIP Signups'!$A$5:$B$204,2,FALSE),DATEDIF(VLOOKUP(A58,'VIP Signups'!$A$5:$B$204,2,FALSE),TODAY(),"M")+1),EDATE(D58,1)),"Quarterly",IFERROR(EDATE(VLOOKUP(A58,'VIP Signups'!$A$5:$B$204,2,FALSE),(INT(DATEDIF(VLOOKUP(A58,'VIP Signups'!$A$5:$B$204,2,FALSE),TODAY(),"M")/3)+1)*3),EDATE(D58,3)),"Yearly",IFERROR(EDATE(VLOOKUP(A58,'VIP Signups'!$A$5:$B$204,2,FALSE),(DATEDIF(VLOOKUP(A58,'VIP Signups'!$A$5:$B$204,2,FALSE),TODAY(),"Y")+1)*12),EDATE(D58,12)),"One-time","Used","Manual","Manual",""))</x:f>
      </x:c>
      <x:c r="I58" s="18" t="str">
        <x:f>IF(A58="","",IF(G58="Manual","Manual",IF(G58&gt;0,"Yes","No")))</x:f>
      </x:c>
      <x:c r="J58" s="18" t="str">
        <x:f>IF(A58="","",B58&amp;": "&amp;IF(I58="Yes","Available ("&amp;G58&amp;"/"&amp;IF(E58="",1,E58)&amp;" left)",IF(I58="Manual","Manual check",IF(ISNUMBER(H58),"0/"&amp;IF(E58="",1,E58)&amp;" left; resets "&amp;TEXT(H58,"yyyy-mm-dd"),"Used"))))</x:f>
      </x:c>
      <x:c r="K58" s="18"/>
      <x:c r="L58" s="18" t="str">
        <x:v>Yes</x:v>
      </x:c>
      <x:c r="M58" s="18" t="str">
        <x:f>IF(A58="","",A58&amp;"|"&amp;B58)</x:f>
      </x:c>
      <x:c r="N58" s="18"/>
    </x:row>
    <x:row r="59">
      <x:c r="A59" s="18"/>
      <x:c r="B59" s="18"/>
      <x:c r="C59" s="18"/>
      <x:c r="D59" s="19"/>
      <x:c r="E59" s="20"/>
      <x:c r="F59" s="20"/>
      <x:c r="G59" s="20" t="str">
        <x:f>IF(A59="","",IF(C59="Manual","Manual",MAX(0,IF(E59="",1,E59)-IF(OR(D59="",D59&lt;SWITCH(C59,"Daily",TODAY(),"Weekly",IFERROR(VLOOKUP(A59,'VIP Signups'!$A$5:$B$204,2,FALSE)+INT((TODAY()-VLOOKUP(A59,'VIP Signups'!$A$5:$B$204,2,FALSE))/7)*7,TODAY()),"Monthly",IFERROR(EDATE(VLOOKUP(A59,'VIP Signups'!$A$5:$B$204,2,FALSE),DATEDIF(VLOOKUP(A59,'VIP Signups'!$A$5:$B$204,2,FALSE),TODAY(),"M")),TODAY()),"Quarterly",IFERROR(EDATE(VLOOKUP(A59,'VIP Signups'!$A$5:$B$204,2,FALSE),INT(DATEDIF(VLOOKUP(A59,'VIP Signups'!$A$5:$B$204,2,FALSE),TODAY(),"M")/3)*3),TODAY()),"Yearly",IFERROR(EDATE(VLOOKUP(A59,'VIP Signups'!$A$5:$B$204,2,FALSE),DATEDIF(VLOOKUP(A59,'VIP Signups'!$A$5:$B$204,2,FALSE),TODAY(),"Y")*12),TODAY()),"One-time",IFERROR(VLOOKUP(A59,'VIP Signups'!$A$5:$B$204,2,FALSE),D59),"Manual",TODAY(),TODAY())),0,IF(F59="",0,F59)))))</x:f>
      </x:c>
      <x:c r="H59" s="19" t="str">
        <x:f>IF(A59="","",SWITCH(C59,"Daily",TODAY()+1,"Weekly",IFERROR(VLOOKUP(A59,'VIP Signups'!$A$5:$B$204,2,FALSE)+CEILING((TODAY()-VLOOKUP(A59,'VIP Signups'!$A$5:$B$204,2,FALSE)+1)/7,1)*7,D59+7),"Monthly",IFERROR(EDATE(VLOOKUP(A59,'VIP Signups'!$A$5:$B$204,2,FALSE),DATEDIF(VLOOKUP(A59,'VIP Signups'!$A$5:$B$204,2,FALSE),TODAY(),"M")+1),EDATE(D59,1)),"Quarterly",IFERROR(EDATE(VLOOKUP(A59,'VIP Signups'!$A$5:$B$204,2,FALSE),(INT(DATEDIF(VLOOKUP(A59,'VIP Signups'!$A$5:$B$204,2,FALSE),TODAY(),"M")/3)+1)*3),EDATE(D59,3)),"Yearly",IFERROR(EDATE(VLOOKUP(A59,'VIP Signups'!$A$5:$B$204,2,FALSE),(DATEDIF(VLOOKUP(A59,'VIP Signups'!$A$5:$B$204,2,FALSE),TODAY(),"Y")+1)*12),EDATE(D59,12)),"One-time","Used","Manual","Manual",""))</x:f>
      </x:c>
      <x:c r="I59" s="18" t="str">
        <x:f>IF(A59="","",IF(G59="Manual","Manual",IF(G59&gt;0,"Yes","No")))</x:f>
      </x:c>
      <x:c r="J59" s="18" t="str">
        <x:f>IF(A59="","",B59&amp;": "&amp;IF(I59="Yes","Available ("&amp;G59&amp;"/"&amp;IF(E59="",1,E59)&amp;" left)",IF(I59="Manual","Manual check",IF(ISNUMBER(H59),"0/"&amp;IF(E59="",1,E59)&amp;" left; resets "&amp;TEXT(H59,"yyyy-mm-dd"),"Used"))))</x:f>
      </x:c>
      <x:c r="K59" s="18"/>
      <x:c r="L59" s="18" t="str">
        <x:v>Yes</x:v>
      </x:c>
      <x:c r="M59" s="18" t="str">
        <x:f>IF(A59="","",A59&amp;"|"&amp;B59)</x:f>
      </x:c>
      <x:c r="N59" s="18"/>
    </x:row>
    <x:row r="60">
      <x:c r="A60" s="18"/>
      <x:c r="B60" s="18"/>
      <x:c r="C60" s="18"/>
      <x:c r="D60" s="19"/>
      <x:c r="E60" s="20"/>
      <x:c r="F60" s="20"/>
      <x:c r="G60" s="20" t="str">
        <x:f>IF(A60="","",IF(C60="Manual","Manual",MAX(0,IF(E60="",1,E60)-IF(OR(D60="",D60&lt;SWITCH(C60,"Daily",TODAY(),"Weekly",IFERROR(VLOOKUP(A60,'VIP Signups'!$A$5:$B$204,2,FALSE)+INT((TODAY()-VLOOKUP(A60,'VIP Signups'!$A$5:$B$204,2,FALSE))/7)*7,TODAY()),"Monthly",IFERROR(EDATE(VLOOKUP(A60,'VIP Signups'!$A$5:$B$204,2,FALSE),DATEDIF(VLOOKUP(A60,'VIP Signups'!$A$5:$B$204,2,FALSE),TODAY(),"M")),TODAY()),"Quarterly",IFERROR(EDATE(VLOOKUP(A60,'VIP Signups'!$A$5:$B$204,2,FALSE),INT(DATEDIF(VLOOKUP(A60,'VIP Signups'!$A$5:$B$204,2,FALSE),TODAY(),"M")/3)*3),TODAY()),"Yearly",IFERROR(EDATE(VLOOKUP(A60,'VIP Signups'!$A$5:$B$204,2,FALSE),DATEDIF(VLOOKUP(A60,'VIP Signups'!$A$5:$B$204,2,FALSE),TODAY(),"Y")*12),TODAY()),"One-time",IFERROR(VLOOKUP(A60,'VIP Signups'!$A$5:$B$204,2,FALSE),D60),"Manual",TODAY(),TODAY())),0,IF(F60="",0,F60)))))</x:f>
      </x:c>
      <x:c r="H60" s="19" t="str">
        <x:f>IF(A60="","",SWITCH(C60,"Daily",TODAY()+1,"Weekly",IFERROR(VLOOKUP(A60,'VIP Signups'!$A$5:$B$204,2,FALSE)+CEILING((TODAY()-VLOOKUP(A60,'VIP Signups'!$A$5:$B$204,2,FALSE)+1)/7,1)*7,D60+7),"Monthly",IFERROR(EDATE(VLOOKUP(A60,'VIP Signups'!$A$5:$B$204,2,FALSE),DATEDIF(VLOOKUP(A60,'VIP Signups'!$A$5:$B$204,2,FALSE),TODAY(),"M")+1),EDATE(D60,1)),"Quarterly",IFERROR(EDATE(VLOOKUP(A60,'VIP Signups'!$A$5:$B$204,2,FALSE),(INT(DATEDIF(VLOOKUP(A60,'VIP Signups'!$A$5:$B$204,2,FALSE),TODAY(),"M")/3)+1)*3),EDATE(D60,3)),"Yearly",IFERROR(EDATE(VLOOKUP(A60,'VIP Signups'!$A$5:$B$204,2,FALSE),(DATEDIF(VLOOKUP(A60,'VIP Signups'!$A$5:$B$204,2,FALSE),TODAY(),"Y")+1)*12),EDATE(D60,12)),"One-time","Used","Manual","Manual",""))</x:f>
      </x:c>
      <x:c r="I60" s="18" t="str">
        <x:f>IF(A60="","",IF(G60="Manual","Manual",IF(G60&gt;0,"Yes","No")))</x:f>
      </x:c>
      <x:c r="J60" s="18" t="str">
        <x:f>IF(A60="","",B60&amp;": "&amp;IF(I60="Yes","Available ("&amp;G60&amp;"/"&amp;IF(E60="",1,E60)&amp;" left)",IF(I60="Manual","Manual check",IF(ISNUMBER(H60),"0/"&amp;IF(E60="",1,E60)&amp;" left; resets "&amp;TEXT(H60,"yyyy-mm-dd"),"Used"))))</x:f>
      </x:c>
      <x:c r="K60" s="18"/>
      <x:c r="L60" s="18" t="str">
        <x:v>Yes</x:v>
      </x:c>
      <x:c r="M60" s="18" t="str">
        <x:f>IF(A60="","",A60&amp;"|"&amp;B60)</x:f>
      </x:c>
      <x:c r="N60" s="18"/>
    </x:row>
    <x:row r="61">
      <x:c r="A61" s="18"/>
      <x:c r="B61" s="18"/>
      <x:c r="C61" s="18"/>
      <x:c r="D61" s="19"/>
      <x:c r="E61" s="20"/>
      <x:c r="F61" s="20"/>
      <x:c r="G61" s="20" t="str">
        <x:f>IF(A61="","",IF(C61="Manual","Manual",MAX(0,IF(E61="",1,E61)-IF(OR(D61="",D61&lt;SWITCH(C61,"Daily",TODAY(),"Weekly",IFERROR(VLOOKUP(A61,'VIP Signups'!$A$5:$B$204,2,FALSE)+INT((TODAY()-VLOOKUP(A61,'VIP Signups'!$A$5:$B$204,2,FALSE))/7)*7,TODAY()),"Monthly",IFERROR(EDATE(VLOOKUP(A61,'VIP Signups'!$A$5:$B$204,2,FALSE),DATEDIF(VLOOKUP(A61,'VIP Signups'!$A$5:$B$204,2,FALSE),TODAY(),"M")),TODAY()),"Quarterly",IFERROR(EDATE(VLOOKUP(A61,'VIP Signups'!$A$5:$B$204,2,FALSE),INT(DATEDIF(VLOOKUP(A61,'VIP Signups'!$A$5:$B$204,2,FALSE),TODAY(),"M")/3)*3),TODAY()),"Yearly",IFERROR(EDATE(VLOOKUP(A61,'VIP Signups'!$A$5:$B$204,2,FALSE),DATEDIF(VLOOKUP(A61,'VIP Signups'!$A$5:$B$204,2,FALSE),TODAY(),"Y")*12),TODAY()),"One-time",IFERROR(VLOOKUP(A61,'VIP Signups'!$A$5:$B$204,2,FALSE),D61),"Manual",TODAY(),TODAY())),0,IF(F61="",0,F61)))))</x:f>
      </x:c>
      <x:c r="H61" s="19" t="str">
        <x:f>IF(A61="","",SWITCH(C61,"Daily",TODAY()+1,"Weekly",IFERROR(VLOOKUP(A61,'VIP Signups'!$A$5:$B$204,2,FALSE)+CEILING((TODAY()-VLOOKUP(A61,'VIP Signups'!$A$5:$B$204,2,FALSE)+1)/7,1)*7,D61+7),"Monthly",IFERROR(EDATE(VLOOKUP(A61,'VIP Signups'!$A$5:$B$204,2,FALSE),DATEDIF(VLOOKUP(A61,'VIP Signups'!$A$5:$B$204,2,FALSE),TODAY(),"M")+1),EDATE(D61,1)),"Quarterly",IFERROR(EDATE(VLOOKUP(A61,'VIP Signups'!$A$5:$B$204,2,FALSE),(INT(DATEDIF(VLOOKUP(A61,'VIP Signups'!$A$5:$B$204,2,FALSE),TODAY(),"M")/3)+1)*3),EDATE(D61,3)),"Yearly",IFERROR(EDATE(VLOOKUP(A61,'VIP Signups'!$A$5:$B$204,2,FALSE),(DATEDIF(VLOOKUP(A61,'VIP Signups'!$A$5:$B$204,2,FALSE),TODAY(),"Y")+1)*12),EDATE(D61,12)),"One-time","Used","Manual","Manual",""))</x:f>
      </x:c>
      <x:c r="I61" s="18" t="str">
        <x:f>IF(A61="","",IF(G61="Manual","Manual",IF(G61&gt;0,"Yes","No")))</x:f>
      </x:c>
      <x:c r="J61" s="18" t="str">
        <x:f>IF(A61="","",B61&amp;": "&amp;IF(I61="Yes","Available ("&amp;G61&amp;"/"&amp;IF(E61="",1,E61)&amp;" left)",IF(I61="Manual","Manual check",IF(ISNUMBER(H61),"0/"&amp;IF(E61="",1,E61)&amp;" left; resets "&amp;TEXT(H61,"yyyy-mm-dd"),"Used"))))</x:f>
      </x:c>
      <x:c r="K61" s="18"/>
      <x:c r="L61" s="18" t="str">
        <x:v>Yes</x:v>
      </x:c>
      <x:c r="M61" s="18" t="str">
        <x:f>IF(A61="","",A61&amp;"|"&amp;B61)</x:f>
      </x:c>
      <x:c r="N61" s="18"/>
    </x:row>
    <x:row r="62">
      <x:c r="A62" s="18"/>
      <x:c r="B62" s="18"/>
      <x:c r="C62" s="18"/>
      <x:c r="D62" s="19"/>
      <x:c r="E62" s="20"/>
      <x:c r="F62" s="20"/>
      <x:c r="G62" s="20" t="str">
        <x:f>IF(A62="","",IF(C62="Manual","Manual",MAX(0,IF(E62="",1,E62)-IF(OR(D62="",D62&lt;SWITCH(C62,"Daily",TODAY(),"Weekly",IFERROR(VLOOKUP(A62,'VIP Signups'!$A$5:$B$204,2,FALSE)+INT((TODAY()-VLOOKUP(A62,'VIP Signups'!$A$5:$B$204,2,FALSE))/7)*7,TODAY()),"Monthly",IFERROR(EDATE(VLOOKUP(A62,'VIP Signups'!$A$5:$B$204,2,FALSE),DATEDIF(VLOOKUP(A62,'VIP Signups'!$A$5:$B$204,2,FALSE),TODAY(),"M")),TODAY()),"Quarterly",IFERROR(EDATE(VLOOKUP(A62,'VIP Signups'!$A$5:$B$204,2,FALSE),INT(DATEDIF(VLOOKUP(A62,'VIP Signups'!$A$5:$B$204,2,FALSE),TODAY(),"M")/3)*3),TODAY()),"Yearly",IFERROR(EDATE(VLOOKUP(A62,'VIP Signups'!$A$5:$B$204,2,FALSE),DATEDIF(VLOOKUP(A62,'VIP Signups'!$A$5:$B$204,2,FALSE),TODAY(),"Y")*12),TODAY()),"One-time",IFERROR(VLOOKUP(A62,'VIP Signups'!$A$5:$B$204,2,FALSE),D62),"Manual",TODAY(),TODAY())),0,IF(F62="",0,F62)))))</x:f>
      </x:c>
      <x:c r="H62" s="19" t="str">
        <x:f>IF(A62="","",SWITCH(C62,"Daily",TODAY()+1,"Weekly",IFERROR(VLOOKUP(A62,'VIP Signups'!$A$5:$B$204,2,FALSE)+CEILING((TODAY()-VLOOKUP(A62,'VIP Signups'!$A$5:$B$204,2,FALSE)+1)/7,1)*7,D62+7),"Monthly",IFERROR(EDATE(VLOOKUP(A62,'VIP Signups'!$A$5:$B$204,2,FALSE),DATEDIF(VLOOKUP(A62,'VIP Signups'!$A$5:$B$204,2,FALSE),TODAY(),"M")+1),EDATE(D62,1)),"Quarterly",IFERROR(EDATE(VLOOKUP(A62,'VIP Signups'!$A$5:$B$204,2,FALSE),(INT(DATEDIF(VLOOKUP(A62,'VIP Signups'!$A$5:$B$204,2,FALSE),TODAY(),"M")/3)+1)*3),EDATE(D62,3)),"Yearly",IFERROR(EDATE(VLOOKUP(A62,'VIP Signups'!$A$5:$B$204,2,FALSE),(DATEDIF(VLOOKUP(A62,'VIP Signups'!$A$5:$B$204,2,FALSE),TODAY(),"Y")+1)*12),EDATE(D62,12)),"One-time","Used","Manual","Manual",""))</x:f>
      </x:c>
      <x:c r="I62" s="18" t="str">
        <x:f>IF(A62="","",IF(G62="Manual","Manual",IF(G62&gt;0,"Yes","No")))</x:f>
      </x:c>
      <x:c r="J62" s="18" t="str">
        <x:f>IF(A62="","",B62&amp;": "&amp;IF(I62="Yes","Available ("&amp;G62&amp;"/"&amp;IF(E62="",1,E62)&amp;" left)",IF(I62="Manual","Manual check",IF(ISNUMBER(H62),"0/"&amp;IF(E62="",1,E62)&amp;" left; resets "&amp;TEXT(H62,"yyyy-mm-dd"),"Used"))))</x:f>
      </x:c>
      <x:c r="K62" s="18"/>
      <x:c r="L62" s="18" t="str">
        <x:v>Yes</x:v>
      </x:c>
      <x:c r="M62" s="18" t="str">
        <x:f>IF(A62="","",A62&amp;"|"&amp;B62)</x:f>
      </x:c>
      <x:c r="N62" s="18"/>
    </x:row>
    <x:row r="63">
      <x:c r="A63" s="18"/>
      <x:c r="B63" s="18"/>
      <x:c r="C63" s="18"/>
      <x:c r="D63" s="19"/>
      <x:c r="E63" s="20"/>
      <x:c r="F63" s="20"/>
      <x:c r="G63" s="20" t="str">
        <x:f>IF(A63="","",IF(C63="Manual","Manual",MAX(0,IF(E63="",1,E63)-IF(OR(D63="",D63&lt;SWITCH(C63,"Daily",TODAY(),"Weekly",IFERROR(VLOOKUP(A63,'VIP Signups'!$A$5:$B$204,2,FALSE)+INT((TODAY()-VLOOKUP(A63,'VIP Signups'!$A$5:$B$204,2,FALSE))/7)*7,TODAY()),"Monthly",IFERROR(EDATE(VLOOKUP(A63,'VIP Signups'!$A$5:$B$204,2,FALSE),DATEDIF(VLOOKUP(A63,'VIP Signups'!$A$5:$B$204,2,FALSE),TODAY(),"M")),TODAY()),"Quarterly",IFERROR(EDATE(VLOOKUP(A63,'VIP Signups'!$A$5:$B$204,2,FALSE),INT(DATEDIF(VLOOKUP(A63,'VIP Signups'!$A$5:$B$204,2,FALSE),TODAY(),"M")/3)*3),TODAY()),"Yearly",IFERROR(EDATE(VLOOKUP(A63,'VIP Signups'!$A$5:$B$204,2,FALSE),DATEDIF(VLOOKUP(A63,'VIP Signups'!$A$5:$B$204,2,FALSE),TODAY(),"Y")*12),TODAY()),"One-time",IFERROR(VLOOKUP(A63,'VIP Signups'!$A$5:$B$204,2,FALSE),D63),"Manual",TODAY(),TODAY())),0,IF(F63="",0,F63)))))</x:f>
      </x:c>
      <x:c r="H63" s="19" t="str">
        <x:f>IF(A63="","",SWITCH(C63,"Daily",TODAY()+1,"Weekly",IFERROR(VLOOKUP(A63,'VIP Signups'!$A$5:$B$204,2,FALSE)+CEILING((TODAY()-VLOOKUP(A63,'VIP Signups'!$A$5:$B$204,2,FALSE)+1)/7,1)*7,D63+7),"Monthly",IFERROR(EDATE(VLOOKUP(A63,'VIP Signups'!$A$5:$B$204,2,FALSE),DATEDIF(VLOOKUP(A63,'VIP Signups'!$A$5:$B$204,2,FALSE),TODAY(),"M")+1),EDATE(D63,1)),"Quarterly",IFERROR(EDATE(VLOOKUP(A63,'VIP Signups'!$A$5:$B$204,2,FALSE),(INT(DATEDIF(VLOOKUP(A63,'VIP Signups'!$A$5:$B$204,2,FALSE),TODAY(),"M")/3)+1)*3),EDATE(D63,3)),"Yearly",IFERROR(EDATE(VLOOKUP(A63,'VIP Signups'!$A$5:$B$204,2,FALSE),(DATEDIF(VLOOKUP(A63,'VIP Signups'!$A$5:$B$204,2,FALSE),TODAY(),"Y")+1)*12),EDATE(D63,12)),"One-time","Used","Manual","Manual",""))</x:f>
      </x:c>
      <x:c r="I63" s="18" t="str">
        <x:f>IF(A63="","",IF(G63="Manual","Manual",IF(G63&gt;0,"Yes","No")))</x:f>
      </x:c>
      <x:c r="J63" s="18" t="str">
        <x:f>IF(A63="","",B63&amp;": "&amp;IF(I63="Yes","Available ("&amp;G63&amp;"/"&amp;IF(E63="",1,E63)&amp;" left)",IF(I63="Manual","Manual check",IF(ISNUMBER(H63),"0/"&amp;IF(E63="",1,E63)&amp;" left; resets "&amp;TEXT(H63,"yyyy-mm-dd"),"Used"))))</x:f>
      </x:c>
      <x:c r="K63" s="18"/>
      <x:c r="L63" s="18" t="str">
        <x:v>Yes</x:v>
      </x:c>
      <x:c r="M63" s="18" t="str">
        <x:f>IF(A63="","",A63&amp;"|"&amp;B63)</x:f>
      </x:c>
      <x:c r="N63" s="18"/>
    </x:row>
    <x:row r="64">
      <x:c r="A64" s="18"/>
      <x:c r="B64" s="18"/>
      <x:c r="C64" s="18"/>
      <x:c r="D64" s="19"/>
      <x:c r="E64" s="20"/>
      <x:c r="F64" s="20"/>
      <x:c r="G64" s="20" t="str">
        <x:f>IF(A64="","",IF(C64="Manual","Manual",MAX(0,IF(E64="",1,E64)-IF(OR(D64="",D64&lt;SWITCH(C64,"Daily",TODAY(),"Weekly",IFERROR(VLOOKUP(A64,'VIP Signups'!$A$5:$B$204,2,FALSE)+INT((TODAY()-VLOOKUP(A64,'VIP Signups'!$A$5:$B$204,2,FALSE))/7)*7,TODAY()),"Monthly",IFERROR(EDATE(VLOOKUP(A64,'VIP Signups'!$A$5:$B$204,2,FALSE),DATEDIF(VLOOKUP(A64,'VIP Signups'!$A$5:$B$204,2,FALSE),TODAY(),"M")),TODAY()),"Quarterly",IFERROR(EDATE(VLOOKUP(A64,'VIP Signups'!$A$5:$B$204,2,FALSE),INT(DATEDIF(VLOOKUP(A64,'VIP Signups'!$A$5:$B$204,2,FALSE),TODAY(),"M")/3)*3),TODAY()),"Yearly",IFERROR(EDATE(VLOOKUP(A64,'VIP Signups'!$A$5:$B$204,2,FALSE),DATEDIF(VLOOKUP(A64,'VIP Signups'!$A$5:$B$204,2,FALSE),TODAY(),"Y")*12),TODAY()),"One-time",IFERROR(VLOOKUP(A64,'VIP Signups'!$A$5:$B$204,2,FALSE),D64),"Manual",TODAY(),TODAY())),0,IF(F64="",0,F64)))))</x:f>
      </x:c>
      <x:c r="H64" s="19" t="str">
        <x:f>IF(A64="","",SWITCH(C64,"Daily",TODAY()+1,"Weekly",IFERROR(VLOOKUP(A64,'VIP Signups'!$A$5:$B$204,2,FALSE)+CEILING((TODAY()-VLOOKUP(A64,'VIP Signups'!$A$5:$B$204,2,FALSE)+1)/7,1)*7,D64+7),"Monthly",IFERROR(EDATE(VLOOKUP(A64,'VIP Signups'!$A$5:$B$204,2,FALSE),DATEDIF(VLOOKUP(A64,'VIP Signups'!$A$5:$B$204,2,FALSE),TODAY(),"M")+1),EDATE(D64,1)),"Quarterly",IFERROR(EDATE(VLOOKUP(A64,'VIP Signups'!$A$5:$B$204,2,FALSE),(INT(DATEDIF(VLOOKUP(A64,'VIP Signups'!$A$5:$B$204,2,FALSE),TODAY(),"M")/3)+1)*3),EDATE(D64,3)),"Yearly",IFERROR(EDATE(VLOOKUP(A64,'VIP Signups'!$A$5:$B$204,2,FALSE),(DATEDIF(VLOOKUP(A64,'VIP Signups'!$A$5:$B$204,2,FALSE),TODAY(),"Y")+1)*12),EDATE(D64,12)),"One-time","Used","Manual","Manual",""))</x:f>
      </x:c>
      <x:c r="I64" s="18" t="str">
        <x:f>IF(A64="","",IF(G64="Manual","Manual",IF(G64&gt;0,"Yes","No")))</x:f>
      </x:c>
      <x:c r="J64" s="18" t="str">
        <x:f>IF(A64="","",B64&amp;": "&amp;IF(I64="Yes","Available ("&amp;G64&amp;"/"&amp;IF(E64="",1,E64)&amp;" left)",IF(I64="Manual","Manual check",IF(ISNUMBER(H64),"0/"&amp;IF(E64="",1,E64)&amp;" left; resets "&amp;TEXT(H64,"yyyy-mm-dd"),"Used"))))</x:f>
      </x:c>
      <x:c r="K64" s="18"/>
      <x:c r="L64" s="18" t="str">
        <x:v>Yes</x:v>
      </x:c>
      <x:c r="M64" s="18" t="str">
        <x:f>IF(A64="","",A64&amp;"|"&amp;B64)</x:f>
      </x:c>
      <x:c r="N64" s="18"/>
    </x:row>
    <x:row r="65">
      <x:c r="A65" s="18"/>
      <x:c r="B65" s="18"/>
      <x:c r="C65" s="18"/>
      <x:c r="D65" s="19"/>
      <x:c r="E65" s="20"/>
      <x:c r="F65" s="20"/>
      <x:c r="G65" s="20" t="str">
        <x:f>IF(A65="","",IF(C65="Manual","Manual",MAX(0,IF(E65="",1,E65)-IF(OR(D65="",D65&lt;SWITCH(C65,"Daily",TODAY(),"Weekly",IFERROR(VLOOKUP(A65,'VIP Signups'!$A$5:$B$204,2,FALSE)+INT((TODAY()-VLOOKUP(A65,'VIP Signups'!$A$5:$B$204,2,FALSE))/7)*7,TODAY()),"Monthly",IFERROR(EDATE(VLOOKUP(A65,'VIP Signups'!$A$5:$B$204,2,FALSE),DATEDIF(VLOOKUP(A65,'VIP Signups'!$A$5:$B$204,2,FALSE),TODAY(),"M")),TODAY()),"Quarterly",IFERROR(EDATE(VLOOKUP(A65,'VIP Signups'!$A$5:$B$204,2,FALSE),INT(DATEDIF(VLOOKUP(A65,'VIP Signups'!$A$5:$B$204,2,FALSE),TODAY(),"M")/3)*3),TODAY()),"Yearly",IFERROR(EDATE(VLOOKUP(A65,'VIP Signups'!$A$5:$B$204,2,FALSE),DATEDIF(VLOOKUP(A65,'VIP Signups'!$A$5:$B$204,2,FALSE),TODAY(),"Y")*12),TODAY()),"One-time",IFERROR(VLOOKUP(A65,'VIP Signups'!$A$5:$B$204,2,FALSE),D65),"Manual",TODAY(),TODAY())),0,IF(F65="",0,F65)))))</x:f>
      </x:c>
      <x:c r="H65" s="19" t="str">
        <x:f>IF(A65="","",SWITCH(C65,"Daily",TODAY()+1,"Weekly",IFERROR(VLOOKUP(A65,'VIP Signups'!$A$5:$B$204,2,FALSE)+CEILING((TODAY()-VLOOKUP(A65,'VIP Signups'!$A$5:$B$204,2,FALSE)+1)/7,1)*7,D65+7),"Monthly",IFERROR(EDATE(VLOOKUP(A65,'VIP Signups'!$A$5:$B$204,2,FALSE),DATEDIF(VLOOKUP(A65,'VIP Signups'!$A$5:$B$204,2,FALSE),TODAY(),"M")+1),EDATE(D65,1)),"Quarterly",IFERROR(EDATE(VLOOKUP(A65,'VIP Signups'!$A$5:$B$204,2,FALSE),(INT(DATEDIF(VLOOKUP(A65,'VIP Signups'!$A$5:$B$204,2,FALSE),TODAY(),"M")/3)+1)*3),EDATE(D65,3)),"Yearly",IFERROR(EDATE(VLOOKUP(A65,'VIP Signups'!$A$5:$B$204,2,FALSE),(DATEDIF(VLOOKUP(A65,'VIP Signups'!$A$5:$B$204,2,FALSE),TODAY(),"Y")+1)*12),EDATE(D65,12)),"One-time","Used","Manual","Manual",""))</x:f>
      </x:c>
      <x:c r="I65" s="18" t="str">
        <x:f>IF(A65="","",IF(G65="Manual","Manual",IF(G65&gt;0,"Yes","No")))</x:f>
      </x:c>
      <x:c r="J65" s="18" t="str">
        <x:f>IF(A65="","",B65&amp;": "&amp;IF(I65="Yes","Available ("&amp;G65&amp;"/"&amp;IF(E65="",1,E65)&amp;" left)",IF(I65="Manual","Manual check",IF(ISNUMBER(H65),"0/"&amp;IF(E65="",1,E65)&amp;" left; resets "&amp;TEXT(H65,"yyyy-mm-dd"),"Used"))))</x:f>
      </x:c>
      <x:c r="K65" s="18"/>
      <x:c r="L65" s="18" t="str">
        <x:v>Yes</x:v>
      </x:c>
      <x:c r="M65" s="18" t="str">
        <x:f>IF(A65="","",A65&amp;"|"&amp;B65)</x:f>
      </x:c>
      <x:c r="N65" s="18"/>
    </x:row>
    <x:row r="66">
      <x:c r="A66" s="18"/>
      <x:c r="B66" s="18"/>
      <x:c r="C66" s="18"/>
      <x:c r="D66" s="19"/>
      <x:c r="E66" s="20"/>
      <x:c r="F66" s="20"/>
      <x:c r="G66" s="20" t="str">
        <x:f>IF(A66="","",IF(C66="Manual","Manual",MAX(0,IF(E66="",1,E66)-IF(OR(D66="",D66&lt;SWITCH(C66,"Daily",TODAY(),"Weekly",IFERROR(VLOOKUP(A66,'VIP Signups'!$A$5:$B$204,2,FALSE)+INT((TODAY()-VLOOKUP(A66,'VIP Signups'!$A$5:$B$204,2,FALSE))/7)*7,TODAY()),"Monthly",IFERROR(EDATE(VLOOKUP(A66,'VIP Signups'!$A$5:$B$204,2,FALSE),DATEDIF(VLOOKUP(A66,'VIP Signups'!$A$5:$B$204,2,FALSE),TODAY(),"M")),TODAY()),"Quarterly",IFERROR(EDATE(VLOOKUP(A66,'VIP Signups'!$A$5:$B$204,2,FALSE),INT(DATEDIF(VLOOKUP(A66,'VIP Signups'!$A$5:$B$204,2,FALSE),TODAY(),"M")/3)*3),TODAY()),"Yearly",IFERROR(EDATE(VLOOKUP(A66,'VIP Signups'!$A$5:$B$204,2,FALSE),DATEDIF(VLOOKUP(A66,'VIP Signups'!$A$5:$B$204,2,FALSE),TODAY(),"Y")*12),TODAY()),"One-time",IFERROR(VLOOKUP(A66,'VIP Signups'!$A$5:$B$204,2,FALSE),D66),"Manual",TODAY(),TODAY())),0,IF(F66="",0,F66)))))</x:f>
      </x:c>
      <x:c r="H66" s="19" t="str">
        <x:f>IF(A66="","",SWITCH(C66,"Daily",TODAY()+1,"Weekly",IFERROR(VLOOKUP(A66,'VIP Signups'!$A$5:$B$204,2,FALSE)+CEILING((TODAY()-VLOOKUP(A66,'VIP Signups'!$A$5:$B$204,2,FALSE)+1)/7,1)*7,D66+7),"Monthly",IFERROR(EDATE(VLOOKUP(A66,'VIP Signups'!$A$5:$B$204,2,FALSE),DATEDIF(VLOOKUP(A66,'VIP Signups'!$A$5:$B$204,2,FALSE),TODAY(),"M")+1),EDATE(D66,1)),"Quarterly",IFERROR(EDATE(VLOOKUP(A66,'VIP Signups'!$A$5:$B$204,2,FALSE),(INT(DATEDIF(VLOOKUP(A66,'VIP Signups'!$A$5:$B$204,2,FALSE),TODAY(),"M")/3)+1)*3),EDATE(D66,3)),"Yearly",IFERROR(EDATE(VLOOKUP(A66,'VIP Signups'!$A$5:$B$204,2,FALSE),(DATEDIF(VLOOKUP(A66,'VIP Signups'!$A$5:$B$204,2,FALSE),TODAY(),"Y")+1)*12),EDATE(D66,12)),"One-time","Used","Manual","Manual",""))</x:f>
      </x:c>
      <x:c r="I66" s="18" t="str">
        <x:f>IF(A66="","",IF(G66="Manual","Manual",IF(G66&gt;0,"Yes","No")))</x:f>
      </x:c>
      <x:c r="J66" s="18" t="str">
        <x:f>IF(A66="","",B66&amp;": "&amp;IF(I66="Yes","Available ("&amp;G66&amp;"/"&amp;IF(E66="",1,E66)&amp;" left)",IF(I66="Manual","Manual check",IF(ISNUMBER(H66),"0/"&amp;IF(E66="",1,E66)&amp;" left; resets "&amp;TEXT(H66,"yyyy-mm-dd"),"Used"))))</x:f>
      </x:c>
      <x:c r="K66" s="18"/>
      <x:c r="L66" s="18" t="str">
        <x:v>Yes</x:v>
      </x:c>
      <x:c r="M66" s="18" t="str">
        <x:f>IF(A66="","",A66&amp;"|"&amp;B66)</x:f>
      </x:c>
      <x:c r="N66" s="18"/>
    </x:row>
    <x:row r="67">
      <x:c r="A67" s="18"/>
      <x:c r="B67" s="18"/>
      <x:c r="C67" s="18"/>
      <x:c r="D67" s="19"/>
      <x:c r="E67" s="20"/>
      <x:c r="F67" s="20"/>
      <x:c r="G67" s="20" t="str">
        <x:f>IF(A67="","",IF(C67="Manual","Manual",MAX(0,IF(E67="",1,E67)-IF(OR(D67="",D67&lt;SWITCH(C67,"Daily",TODAY(),"Weekly",IFERROR(VLOOKUP(A67,'VIP Signups'!$A$5:$B$204,2,FALSE)+INT((TODAY()-VLOOKUP(A67,'VIP Signups'!$A$5:$B$204,2,FALSE))/7)*7,TODAY()),"Monthly",IFERROR(EDATE(VLOOKUP(A67,'VIP Signups'!$A$5:$B$204,2,FALSE),DATEDIF(VLOOKUP(A67,'VIP Signups'!$A$5:$B$204,2,FALSE),TODAY(),"M")),TODAY()),"Quarterly",IFERROR(EDATE(VLOOKUP(A67,'VIP Signups'!$A$5:$B$204,2,FALSE),INT(DATEDIF(VLOOKUP(A67,'VIP Signups'!$A$5:$B$204,2,FALSE),TODAY(),"M")/3)*3),TODAY()),"Yearly",IFERROR(EDATE(VLOOKUP(A67,'VIP Signups'!$A$5:$B$204,2,FALSE),DATEDIF(VLOOKUP(A67,'VIP Signups'!$A$5:$B$204,2,FALSE),TODAY(),"Y")*12),TODAY()),"One-time",IFERROR(VLOOKUP(A67,'VIP Signups'!$A$5:$B$204,2,FALSE),D67),"Manual",TODAY(),TODAY())),0,IF(F67="",0,F67)))))</x:f>
      </x:c>
      <x:c r="H67" s="19" t="str">
        <x:f>IF(A67="","",SWITCH(C67,"Daily",TODAY()+1,"Weekly",IFERROR(VLOOKUP(A67,'VIP Signups'!$A$5:$B$204,2,FALSE)+CEILING((TODAY()-VLOOKUP(A67,'VIP Signups'!$A$5:$B$204,2,FALSE)+1)/7,1)*7,D67+7),"Monthly",IFERROR(EDATE(VLOOKUP(A67,'VIP Signups'!$A$5:$B$204,2,FALSE),DATEDIF(VLOOKUP(A67,'VIP Signups'!$A$5:$B$204,2,FALSE),TODAY(),"M")+1),EDATE(D67,1)),"Quarterly",IFERROR(EDATE(VLOOKUP(A67,'VIP Signups'!$A$5:$B$204,2,FALSE),(INT(DATEDIF(VLOOKUP(A67,'VIP Signups'!$A$5:$B$204,2,FALSE),TODAY(),"M")/3)+1)*3),EDATE(D67,3)),"Yearly",IFERROR(EDATE(VLOOKUP(A67,'VIP Signups'!$A$5:$B$204,2,FALSE),(DATEDIF(VLOOKUP(A67,'VIP Signups'!$A$5:$B$204,2,FALSE),TODAY(),"Y")+1)*12),EDATE(D67,12)),"One-time","Used","Manual","Manual",""))</x:f>
      </x:c>
      <x:c r="I67" s="18" t="str">
        <x:f>IF(A67="","",IF(G67="Manual","Manual",IF(G67&gt;0,"Yes","No")))</x:f>
      </x:c>
      <x:c r="J67" s="18" t="str">
        <x:f>IF(A67="","",B67&amp;": "&amp;IF(I67="Yes","Available ("&amp;G67&amp;"/"&amp;IF(E67="",1,E67)&amp;" left)",IF(I67="Manual","Manual check",IF(ISNUMBER(H67),"0/"&amp;IF(E67="",1,E67)&amp;" left; resets "&amp;TEXT(H67,"yyyy-mm-dd"),"Used"))))</x:f>
      </x:c>
      <x:c r="K67" s="18"/>
      <x:c r="L67" s="18" t="str">
        <x:v>Yes</x:v>
      </x:c>
      <x:c r="M67" s="18" t="str">
        <x:f>IF(A67="","",A67&amp;"|"&amp;B67)</x:f>
      </x:c>
      <x:c r="N67" s="18"/>
    </x:row>
    <x:row r="68">
      <x:c r="A68" s="18"/>
      <x:c r="B68" s="18"/>
      <x:c r="C68" s="18"/>
      <x:c r="D68" s="19"/>
      <x:c r="E68" s="20"/>
      <x:c r="F68" s="20"/>
      <x:c r="G68" s="20" t="str">
        <x:f>IF(A68="","",IF(C68="Manual","Manual",MAX(0,IF(E68="",1,E68)-IF(OR(D68="",D68&lt;SWITCH(C68,"Daily",TODAY(),"Weekly",IFERROR(VLOOKUP(A68,'VIP Signups'!$A$5:$B$204,2,FALSE)+INT((TODAY()-VLOOKUP(A68,'VIP Signups'!$A$5:$B$204,2,FALSE))/7)*7,TODAY()),"Monthly",IFERROR(EDATE(VLOOKUP(A68,'VIP Signups'!$A$5:$B$204,2,FALSE),DATEDIF(VLOOKUP(A68,'VIP Signups'!$A$5:$B$204,2,FALSE),TODAY(),"M")),TODAY()),"Quarterly",IFERROR(EDATE(VLOOKUP(A68,'VIP Signups'!$A$5:$B$204,2,FALSE),INT(DATEDIF(VLOOKUP(A68,'VIP Signups'!$A$5:$B$204,2,FALSE),TODAY(),"M")/3)*3),TODAY()),"Yearly",IFERROR(EDATE(VLOOKUP(A68,'VIP Signups'!$A$5:$B$204,2,FALSE),DATEDIF(VLOOKUP(A68,'VIP Signups'!$A$5:$B$204,2,FALSE),TODAY(),"Y")*12),TODAY()),"One-time",IFERROR(VLOOKUP(A68,'VIP Signups'!$A$5:$B$204,2,FALSE),D68),"Manual",TODAY(),TODAY())),0,IF(F68="",0,F68)))))</x:f>
      </x:c>
      <x:c r="H68" s="19" t="str">
        <x:f>IF(A68="","",SWITCH(C68,"Daily",TODAY()+1,"Weekly",IFERROR(VLOOKUP(A68,'VIP Signups'!$A$5:$B$204,2,FALSE)+CEILING((TODAY()-VLOOKUP(A68,'VIP Signups'!$A$5:$B$204,2,FALSE)+1)/7,1)*7,D68+7),"Monthly",IFERROR(EDATE(VLOOKUP(A68,'VIP Signups'!$A$5:$B$204,2,FALSE),DATEDIF(VLOOKUP(A68,'VIP Signups'!$A$5:$B$204,2,FALSE),TODAY(),"M")+1),EDATE(D68,1)),"Quarterly",IFERROR(EDATE(VLOOKUP(A68,'VIP Signups'!$A$5:$B$204,2,FALSE),(INT(DATEDIF(VLOOKUP(A68,'VIP Signups'!$A$5:$B$204,2,FALSE),TODAY(),"M")/3)+1)*3),EDATE(D68,3)),"Yearly",IFERROR(EDATE(VLOOKUP(A68,'VIP Signups'!$A$5:$B$204,2,FALSE),(DATEDIF(VLOOKUP(A68,'VIP Signups'!$A$5:$B$204,2,FALSE),TODAY(),"Y")+1)*12),EDATE(D68,12)),"One-time","Used","Manual","Manual",""))</x:f>
      </x:c>
      <x:c r="I68" s="18" t="str">
        <x:f>IF(A68="","",IF(G68="Manual","Manual",IF(G68&gt;0,"Yes","No")))</x:f>
      </x:c>
      <x:c r="J68" s="18" t="str">
        <x:f>IF(A68="","",B68&amp;": "&amp;IF(I68="Yes","Available ("&amp;G68&amp;"/"&amp;IF(E68="",1,E68)&amp;" left)",IF(I68="Manual","Manual check",IF(ISNUMBER(H68),"0/"&amp;IF(E68="",1,E68)&amp;" left; resets "&amp;TEXT(H68,"yyyy-mm-dd"),"Used"))))</x:f>
      </x:c>
      <x:c r="K68" s="18"/>
      <x:c r="L68" s="18" t="str">
        <x:v>Yes</x:v>
      </x:c>
      <x:c r="M68" s="18" t="str">
        <x:f>IF(A68="","",A68&amp;"|"&amp;B68)</x:f>
      </x:c>
      <x:c r="N68" s="18"/>
    </x:row>
    <x:row r="69">
      <x:c r="A69" s="18"/>
      <x:c r="B69" s="18"/>
      <x:c r="C69" s="18"/>
      <x:c r="D69" s="19"/>
      <x:c r="E69" s="20"/>
      <x:c r="F69" s="20"/>
      <x:c r="G69" s="20" t="str">
        <x:f>IF(A69="","",IF(C69="Manual","Manual",MAX(0,IF(E69="",1,E69)-IF(OR(D69="",D69&lt;SWITCH(C69,"Daily",TODAY(),"Weekly",IFERROR(VLOOKUP(A69,'VIP Signups'!$A$5:$B$204,2,FALSE)+INT((TODAY()-VLOOKUP(A69,'VIP Signups'!$A$5:$B$204,2,FALSE))/7)*7,TODAY()),"Monthly",IFERROR(EDATE(VLOOKUP(A69,'VIP Signups'!$A$5:$B$204,2,FALSE),DATEDIF(VLOOKUP(A69,'VIP Signups'!$A$5:$B$204,2,FALSE),TODAY(),"M")),TODAY()),"Quarterly",IFERROR(EDATE(VLOOKUP(A69,'VIP Signups'!$A$5:$B$204,2,FALSE),INT(DATEDIF(VLOOKUP(A69,'VIP Signups'!$A$5:$B$204,2,FALSE),TODAY(),"M")/3)*3),TODAY()),"Yearly",IFERROR(EDATE(VLOOKUP(A69,'VIP Signups'!$A$5:$B$204,2,FALSE),DATEDIF(VLOOKUP(A69,'VIP Signups'!$A$5:$B$204,2,FALSE),TODAY(),"Y")*12),TODAY()),"One-time",IFERROR(VLOOKUP(A69,'VIP Signups'!$A$5:$B$204,2,FALSE),D69),"Manual",TODAY(),TODAY())),0,IF(F69="",0,F69)))))</x:f>
      </x:c>
      <x:c r="H69" s="19" t="str">
        <x:f>IF(A69="","",SWITCH(C69,"Daily",TODAY()+1,"Weekly",IFERROR(VLOOKUP(A69,'VIP Signups'!$A$5:$B$204,2,FALSE)+CEILING((TODAY()-VLOOKUP(A69,'VIP Signups'!$A$5:$B$204,2,FALSE)+1)/7,1)*7,D69+7),"Monthly",IFERROR(EDATE(VLOOKUP(A69,'VIP Signups'!$A$5:$B$204,2,FALSE),DATEDIF(VLOOKUP(A69,'VIP Signups'!$A$5:$B$204,2,FALSE),TODAY(),"M")+1),EDATE(D69,1)),"Quarterly",IFERROR(EDATE(VLOOKUP(A69,'VIP Signups'!$A$5:$B$204,2,FALSE),(INT(DATEDIF(VLOOKUP(A69,'VIP Signups'!$A$5:$B$204,2,FALSE),TODAY(),"M")/3)+1)*3),EDATE(D69,3)),"Yearly",IFERROR(EDATE(VLOOKUP(A69,'VIP Signups'!$A$5:$B$204,2,FALSE),(DATEDIF(VLOOKUP(A69,'VIP Signups'!$A$5:$B$204,2,FALSE),TODAY(),"Y")+1)*12),EDATE(D69,12)),"One-time","Used","Manual","Manual",""))</x:f>
      </x:c>
      <x:c r="I69" s="18" t="str">
        <x:f>IF(A69="","",IF(G69="Manual","Manual",IF(G69&gt;0,"Yes","No")))</x:f>
      </x:c>
      <x:c r="J69" s="18" t="str">
        <x:f>IF(A69="","",B69&amp;": "&amp;IF(I69="Yes","Available ("&amp;G69&amp;"/"&amp;IF(E69="",1,E69)&amp;" left)",IF(I69="Manual","Manual check",IF(ISNUMBER(H69),"0/"&amp;IF(E69="",1,E69)&amp;" left; resets "&amp;TEXT(H69,"yyyy-mm-dd"),"Used"))))</x:f>
      </x:c>
      <x:c r="K69" s="18"/>
      <x:c r="L69" s="18" t="str">
        <x:v>Yes</x:v>
      </x:c>
      <x:c r="M69" s="18" t="str">
        <x:f>IF(A69="","",A69&amp;"|"&amp;B69)</x:f>
      </x:c>
      <x:c r="N69" s="18"/>
    </x:row>
    <x:row r="70">
      <x:c r="A70" s="18"/>
      <x:c r="B70" s="18"/>
      <x:c r="C70" s="18"/>
      <x:c r="D70" s="19"/>
      <x:c r="E70" s="20"/>
      <x:c r="F70" s="20"/>
      <x:c r="G70" s="20" t="str">
        <x:f>IF(A70="","",IF(C70="Manual","Manual",MAX(0,IF(E70="",1,E70)-IF(OR(D70="",D70&lt;SWITCH(C70,"Daily",TODAY(),"Weekly",IFERROR(VLOOKUP(A70,'VIP Signups'!$A$5:$B$204,2,FALSE)+INT((TODAY()-VLOOKUP(A70,'VIP Signups'!$A$5:$B$204,2,FALSE))/7)*7,TODAY()),"Monthly",IFERROR(EDATE(VLOOKUP(A70,'VIP Signups'!$A$5:$B$204,2,FALSE),DATEDIF(VLOOKUP(A70,'VIP Signups'!$A$5:$B$204,2,FALSE),TODAY(),"M")),TODAY()),"Quarterly",IFERROR(EDATE(VLOOKUP(A70,'VIP Signups'!$A$5:$B$204,2,FALSE),INT(DATEDIF(VLOOKUP(A70,'VIP Signups'!$A$5:$B$204,2,FALSE),TODAY(),"M")/3)*3),TODAY()),"Yearly",IFERROR(EDATE(VLOOKUP(A70,'VIP Signups'!$A$5:$B$204,2,FALSE),DATEDIF(VLOOKUP(A70,'VIP Signups'!$A$5:$B$204,2,FALSE),TODAY(),"Y")*12),TODAY()),"One-time",IFERROR(VLOOKUP(A70,'VIP Signups'!$A$5:$B$204,2,FALSE),D70),"Manual",TODAY(),TODAY())),0,IF(F70="",0,F70)))))</x:f>
      </x:c>
      <x:c r="H70" s="19" t="str">
        <x:f>IF(A70="","",SWITCH(C70,"Daily",TODAY()+1,"Weekly",IFERROR(VLOOKUP(A70,'VIP Signups'!$A$5:$B$204,2,FALSE)+CEILING((TODAY()-VLOOKUP(A70,'VIP Signups'!$A$5:$B$204,2,FALSE)+1)/7,1)*7,D70+7),"Monthly",IFERROR(EDATE(VLOOKUP(A70,'VIP Signups'!$A$5:$B$204,2,FALSE),DATEDIF(VLOOKUP(A70,'VIP Signups'!$A$5:$B$204,2,FALSE),TODAY(),"M")+1),EDATE(D70,1)),"Quarterly",IFERROR(EDATE(VLOOKUP(A70,'VIP Signups'!$A$5:$B$204,2,FALSE),(INT(DATEDIF(VLOOKUP(A70,'VIP Signups'!$A$5:$B$204,2,FALSE),TODAY(),"M")/3)+1)*3),EDATE(D70,3)),"Yearly",IFERROR(EDATE(VLOOKUP(A70,'VIP Signups'!$A$5:$B$204,2,FALSE),(DATEDIF(VLOOKUP(A70,'VIP Signups'!$A$5:$B$204,2,FALSE),TODAY(),"Y")+1)*12),EDATE(D70,12)),"One-time","Used","Manual","Manual",""))</x:f>
      </x:c>
      <x:c r="I70" s="18" t="str">
        <x:f>IF(A70="","",IF(G70="Manual","Manual",IF(G70&gt;0,"Yes","No")))</x:f>
      </x:c>
      <x:c r="J70" s="18" t="str">
        <x:f>IF(A70="","",B70&amp;": "&amp;IF(I70="Yes","Available ("&amp;G70&amp;"/"&amp;IF(E70="",1,E70)&amp;" left)",IF(I70="Manual","Manual check",IF(ISNUMBER(H70),"0/"&amp;IF(E70="",1,E70)&amp;" left; resets "&amp;TEXT(H70,"yyyy-mm-dd"),"Used"))))</x:f>
      </x:c>
      <x:c r="K70" s="18"/>
      <x:c r="L70" s="18" t="str">
        <x:v>Yes</x:v>
      </x:c>
      <x:c r="M70" s="18" t="str">
        <x:f>IF(A70="","",A70&amp;"|"&amp;B70)</x:f>
      </x:c>
      <x:c r="N70" s="18"/>
    </x:row>
    <x:row r="71">
      <x:c r="A71" s="18"/>
      <x:c r="B71" s="18"/>
      <x:c r="C71" s="18"/>
      <x:c r="D71" s="19"/>
      <x:c r="E71" s="20"/>
      <x:c r="F71" s="20"/>
      <x:c r="G71" s="20" t="str">
        <x:f>IF(A71="","",IF(C71="Manual","Manual",MAX(0,IF(E71="",1,E71)-IF(OR(D71="",D71&lt;SWITCH(C71,"Daily",TODAY(),"Weekly",IFERROR(VLOOKUP(A71,'VIP Signups'!$A$5:$B$204,2,FALSE)+INT((TODAY()-VLOOKUP(A71,'VIP Signups'!$A$5:$B$204,2,FALSE))/7)*7,TODAY()),"Monthly",IFERROR(EDATE(VLOOKUP(A71,'VIP Signups'!$A$5:$B$204,2,FALSE),DATEDIF(VLOOKUP(A71,'VIP Signups'!$A$5:$B$204,2,FALSE),TODAY(),"M")),TODAY()),"Quarterly",IFERROR(EDATE(VLOOKUP(A71,'VIP Signups'!$A$5:$B$204,2,FALSE),INT(DATEDIF(VLOOKUP(A71,'VIP Signups'!$A$5:$B$204,2,FALSE),TODAY(),"M")/3)*3),TODAY()),"Yearly",IFERROR(EDATE(VLOOKUP(A71,'VIP Signups'!$A$5:$B$204,2,FALSE),DATEDIF(VLOOKUP(A71,'VIP Signups'!$A$5:$B$204,2,FALSE),TODAY(),"Y")*12),TODAY()),"One-time",IFERROR(VLOOKUP(A71,'VIP Signups'!$A$5:$B$204,2,FALSE),D71),"Manual",TODAY(),TODAY())),0,IF(F71="",0,F71)))))</x:f>
      </x:c>
      <x:c r="H71" s="19" t="str">
        <x:f>IF(A71="","",SWITCH(C71,"Daily",TODAY()+1,"Weekly",IFERROR(VLOOKUP(A71,'VIP Signups'!$A$5:$B$204,2,FALSE)+CEILING((TODAY()-VLOOKUP(A71,'VIP Signups'!$A$5:$B$204,2,FALSE)+1)/7,1)*7,D71+7),"Monthly",IFERROR(EDATE(VLOOKUP(A71,'VIP Signups'!$A$5:$B$204,2,FALSE),DATEDIF(VLOOKUP(A71,'VIP Signups'!$A$5:$B$204,2,FALSE),TODAY(),"M")+1),EDATE(D71,1)),"Quarterly",IFERROR(EDATE(VLOOKUP(A71,'VIP Signups'!$A$5:$B$204,2,FALSE),(INT(DATEDIF(VLOOKUP(A71,'VIP Signups'!$A$5:$B$204,2,FALSE),TODAY(),"M")/3)+1)*3),EDATE(D71,3)),"Yearly",IFERROR(EDATE(VLOOKUP(A71,'VIP Signups'!$A$5:$B$204,2,FALSE),(DATEDIF(VLOOKUP(A71,'VIP Signups'!$A$5:$B$204,2,FALSE),TODAY(),"Y")+1)*12),EDATE(D71,12)),"One-time","Used","Manual","Manual",""))</x:f>
      </x:c>
      <x:c r="I71" s="18" t="str">
        <x:f>IF(A71="","",IF(G71="Manual","Manual",IF(G71&gt;0,"Yes","No")))</x:f>
      </x:c>
      <x:c r="J71" s="18" t="str">
        <x:f>IF(A71="","",B71&amp;": "&amp;IF(I71="Yes","Available ("&amp;G71&amp;"/"&amp;IF(E71="",1,E71)&amp;" left)",IF(I71="Manual","Manual check",IF(ISNUMBER(H71),"0/"&amp;IF(E71="",1,E71)&amp;" left; resets "&amp;TEXT(H71,"yyyy-mm-dd"),"Used"))))</x:f>
      </x:c>
      <x:c r="K71" s="18"/>
      <x:c r="L71" s="18" t="str">
        <x:v>Yes</x:v>
      </x:c>
      <x:c r="M71" s="18" t="str">
        <x:f>IF(A71="","",A71&amp;"|"&amp;B71)</x:f>
      </x:c>
      <x:c r="N71" s="18"/>
    </x:row>
    <x:row r="72">
      <x:c r="A72" s="18"/>
      <x:c r="B72" s="18"/>
      <x:c r="C72" s="18"/>
      <x:c r="D72" s="19"/>
      <x:c r="E72" s="20"/>
      <x:c r="F72" s="20"/>
      <x:c r="G72" s="20" t="str">
        <x:f>IF(A72="","",IF(C72="Manual","Manual",MAX(0,IF(E72="",1,E72)-IF(OR(D72="",D72&lt;SWITCH(C72,"Daily",TODAY(),"Weekly",IFERROR(VLOOKUP(A72,'VIP Signups'!$A$5:$B$204,2,FALSE)+INT((TODAY()-VLOOKUP(A72,'VIP Signups'!$A$5:$B$204,2,FALSE))/7)*7,TODAY()),"Monthly",IFERROR(EDATE(VLOOKUP(A72,'VIP Signups'!$A$5:$B$204,2,FALSE),DATEDIF(VLOOKUP(A72,'VIP Signups'!$A$5:$B$204,2,FALSE),TODAY(),"M")),TODAY()),"Quarterly",IFERROR(EDATE(VLOOKUP(A72,'VIP Signups'!$A$5:$B$204,2,FALSE),INT(DATEDIF(VLOOKUP(A72,'VIP Signups'!$A$5:$B$204,2,FALSE),TODAY(),"M")/3)*3),TODAY()),"Yearly",IFERROR(EDATE(VLOOKUP(A72,'VIP Signups'!$A$5:$B$204,2,FALSE),DATEDIF(VLOOKUP(A72,'VIP Signups'!$A$5:$B$204,2,FALSE),TODAY(),"Y")*12),TODAY()),"One-time",IFERROR(VLOOKUP(A72,'VIP Signups'!$A$5:$B$204,2,FALSE),D72),"Manual",TODAY(),TODAY())),0,IF(F72="",0,F72)))))</x:f>
      </x:c>
      <x:c r="H72" s="19" t="str">
        <x:f>IF(A72="","",SWITCH(C72,"Daily",TODAY()+1,"Weekly",IFERROR(VLOOKUP(A72,'VIP Signups'!$A$5:$B$204,2,FALSE)+CEILING((TODAY()-VLOOKUP(A72,'VIP Signups'!$A$5:$B$204,2,FALSE)+1)/7,1)*7,D72+7),"Monthly",IFERROR(EDATE(VLOOKUP(A72,'VIP Signups'!$A$5:$B$204,2,FALSE),DATEDIF(VLOOKUP(A72,'VIP Signups'!$A$5:$B$204,2,FALSE),TODAY(),"M")+1),EDATE(D72,1)),"Quarterly",IFERROR(EDATE(VLOOKUP(A72,'VIP Signups'!$A$5:$B$204,2,FALSE),(INT(DATEDIF(VLOOKUP(A72,'VIP Signups'!$A$5:$B$204,2,FALSE),TODAY(),"M")/3)+1)*3),EDATE(D72,3)),"Yearly",IFERROR(EDATE(VLOOKUP(A72,'VIP Signups'!$A$5:$B$204,2,FALSE),(DATEDIF(VLOOKUP(A72,'VIP Signups'!$A$5:$B$204,2,FALSE),TODAY(),"Y")+1)*12),EDATE(D72,12)),"One-time","Used","Manual","Manual",""))</x:f>
      </x:c>
      <x:c r="I72" s="18" t="str">
        <x:f>IF(A72="","",IF(G72="Manual","Manual",IF(G72&gt;0,"Yes","No")))</x:f>
      </x:c>
      <x:c r="J72" s="18" t="str">
        <x:f>IF(A72="","",B72&amp;": "&amp;IF(I72="Yes","Available ("&amp;G72&amp;"/"&amp;IF(E72="",1,E72)&amp;" left)",IF(I72="Manual","Manual check",IF(ISNUMBER(H72),"0/"&amp;IF(E72="",1,E72)&amp;" left; resets "&amp;TEXT(H72,"yyyy-mm-dd"),"Used"))))</x:f>
      </x:c>
      <x:c r="K72" s="18"/>
      <x:c r="L72" s="18" t="str">
        <x:v>Yes</x:v>
      </x:c>
      <x:c r="M72" s="18" t="str">
        <x:f>IF(A72="","",A72&amp;"|"&amp;B72)</x:f>
      </x:c>
      <x:c r="N72" s="18"/>
    </x:row>
    <x:row r="73">
      <x:c r="A73" s="18"/>
      <x:c r="B73" s="18"/>
      <x:c r="C73" s="18"/>
      <x:c r="D73" s="19"/>
      <x:c r="E73" s="20"/>
      <x:c r="F73" s="20"/>
      <x:c r="G73" s="20" t="str">
        <x:f>IF(A73="","",IF(C73="Manual","Manual",MAX(0,IF(E73="",1,E73)-IF(OR(D73="",D73&lt;SWITCH(C73,"Daily",TODAY(),"Weekly",IFERROR(VLOOKUP(A73,'VIP Signups'!$A$5:$B$204,2,FALSE)+INT((TODAY()-VLOOKUP(A73,'VIP Signups'!$A$5:$B$204,2,FALSE))/7)*7,TODAY()),"Monthly",IFERROR(EDATE(VLOOKUP(A73,'VIP Signups'!$A$5:$B$204,2,FALSE),DATEDIF(VLOOKUP(A73,'VIP Signups'!$A$5:$B$204,2,FALSE),TODAY(),"M")),TODAY()),"Quarterly",IFERROR(EDATE(VLOOKUP(A73,'VIP Signups'!$A$5:$B$204,2,FALSE),INT(DATEDIF(VLOOKUP(A73,'VIP Signups'!$A$5:$B$204,2,FALSE),TODAY(),"M")/3)*3),TODAY()),"Yearly",IFERROR(EDATE(VLOOKUP(A73,'VIP Signups'!$A$5:$B$204,2,FALSE),DATEDIF(VLOOKUP(A73,'VIP Signups'!$A$5:$B$204,2,FALSE),TODAY(),"Y")*12),TODAY()),"One-time",IFERROR(VLOOKUP(A73,'VIP Signups'!$A$5:$B$204,2,FALSE),D73),"Manual",TODAY(),TODAY())),0,IF(F73="",0,F73)))))</x:f>
      </x:c>
      <x:c r="H73" s="19" t="str">
        <x:f>IF(A73="","",SWITCH(C73,"Daily",TODAY()+1,"Weekly",IFERROR(VLOOKUP(A73,'VIP Signups'!$A$5:$B$204,2,FALSE)+CEILING((TODAY()-VLOOKUP(A73,'VIP Signups'!$A$5:$B$204,2,FALSE)+1)/7,1)*7,D73+7),"Monthly",IFERROR(EDATE(VLOOKUP(A73,'VIP Signups'!$A$5:$B$204,2,FALSE),DATEDIF(VLOOKUP(A73,'VIP Signups'!$A$5:$B$204,2,FALSE),TODAY(),"M")+1),EDATE(D73,1)),"Quarterly",IFERROR(EDATE(VLOOKUP(A73,'VIP Signups'!$A$5:$B$204,2,FALSE),(INT(DATEDIF(VLOOKUP(A73,'VIP Signups'!$A$5:$B$204,2,FALSE),TODAY(),"M")/3)+1)*3),EDATE(D73,3)),"Yearly",IFERROR(EDATE(VLOOKUP(A73,'VIP Signups'!$A$5:$B$204,2,FALSE),(DATEDIF(VLOOKUP(A73,'VIP Signups'!$A$5:$B$204,2,FALSE),TODAY(),"Y")+1)*12),EDATE(D73,12)),"One-time","Used","Manual","Manual",""))</x:f>
      </x:c>
      <x:c r="I73" s="18" t="str">
        <x:f>IF(A73="","",IF(G73="Manual","Manual",IF(G73&gt;0,"Yes","No")))</x:f>
      </x:c>
      <x:c r="J73" s="18" t="str">
        <x:f>IF(A73="","",B73&amp;": "&amp;IF(I73="Yes","Available ("&amp;G73&amp;"/"&amp;IF(E73="",1,E73)&amp;" left)",IF(I73="Manual","Manual check",IF(ISNUMBER(H73),"0/"&amp;IF(E73="",1,E73)&amp;" left; resets "&amp;TEXT(H73,"yyyy-mm-dd"),"Used"))))</x:f>
      </x:c>
      <x:c r="K73" s="18"/>
      <x:c r="L73" s="18" t="str">
        <x:v>Yes</x:v>
      </x:c>
      <x:c r="M73" s="18" t="str">
        <x:f>IF(A73="","",A73&amp;"|"&amp;B73)</x:f>
      </x:c>
      <x:c r="N73" s="18"/>
    </x:row>
    <x:row r="74">
      <x:c r="A74" s="18"/>
      <x:c r="B74" s="18"/>
      <x:c r="C74" s="18"/>
      <x:c r="D74" s="19"/>
      <x:c r="E74" s="20"/>
      <x:c r="F74" s="20"/>
      <x:c r="G74" s="20" t="str">
        <x:f>IF(A74="","",IF(C74="Manual","Manual",MAX(0,IF(E74="",1,E74)-IF(OR(D74="",D74&lt;SWITCH(C74,"Daily",TODAY(),"Weekly",IFERROR(VLOOKUP(A74,'VIP Signups'!$A$5:$B$204,2,FALSE)+INT((TODAY()-VLOOKUP(A74,'VIP Signups'!$A$5:$B$204,2,FALSE))/7)*7,TODAY()),"Monthly",IFERROR(EDATE(VLOOKUP(A74,'VIP Signups'!$A$5:$B$204,2,FALSE),DATEDIF(VLOOKUP(A74,'VIP Signups'!$A$5:$B$204,2,FALSE),TODAY(),"M")),TODAY()),"Quarterly",IFERROR(EDATE(VLOOKUP(A74,'VIP Signups'!$A$5:$B$204,2,FALSE),INT(DATEDIF(VLOOKUP(A74,'VIP Signups'!$A$5:$B$204,2,FALSE),TODAY(),"M")/3)*3),TODAY()),"Yearly",IFERROR(EDATE(VLOOKUP(A74,'VIP Signups'!$A$5:$B$204,2,FALSE),DATEDIF(VLOOKUP(A74,'VIP Signups'!$A$5:$B$204,2,FALSE),TODAY(),"Y")*12),TODAY()),"One-time",IFERROR(VLOOKUP(A74,'VIP Signups'!$A$5:$B$204,2,FALSE),D74),"Manual",TODAY(),TODAY())),0,IF(F74="",0,F74)))))</x:f>
      </x:c>
      <x:c r="H74" s="19" t="str">
        <x:f>IF(A74="","",SWITCH(C74,"Daily",TODAY()+1,"Weekly",IFERROR(VLOOKUP(A74,'VIP Signups'!$A$5:$B$204,2,FALSE)+CEILING((TODAY()-VLOOKUP(A74,'VIP Signups'!$A$5:$B$204,2,FALSE)+1)/7,1)*7,D74+7),"Monthly",IFERROR(EDATE(VLOOKUP(A74,'VIP Signups'!$A$5:$B$204,2,FALSE),DATEDIF(VLOOKUP(A74,'VIP Signups'!$A$5:$B$204,2,FALSE),TODAY(),"M")+1),EDATE(D74,1)),"Quarterly",IFERROR(EDATE(VLOOKUP(A74,'VIP Signups'!$A$5:$B$204,2,FALSE),(INT(DATEDIF(VLOOKUP(A74,'VIP Signups'!$A$5:$B$204,2,FALSE),TODAY(),"M")/3)+1)*3),EDATE(D74,3)),"Yearly",IFERROR(EDATE(VLOOKUP(A74,'VIP Signups'!$A$5:$B$204,2,FALSE),(DATEDIF(VLOOKUP(A74,'VIP Signups'!$A$5:$B$204,2,FALSE),TODAY(),"Y")+1)*12),EDATE(D74,12)),"One-time","Used","Manual","Manual",""))</x:f>
      </x:c>
      <x:c r="I74" s="18" t="str">
        <x:f>IF(A74="","",IF(G74="Manual","Manual",IF(G74&gt;0,"Yes","No")))</x:f>
      </x:c>
      <x:c r="J74" s="18" t="str">
        <x:f>IF(A74="","",B74&amp;": "&amp;IF(I74="Yes","Available ("&amp;G74&amp;"/"&amp;IF(E74="",1,E74)&amp;" left)",IF(I74="Manual","Manual check",IF(ISNUMBER(H74),"0/"&amp;IF(E74="",1,E74)&amp;" left; resets "&amp;TEXT(H74,"yyyy-mm-dd"),"Used"))))</x:f>
      </x:c>
      <x:c r="K74" s="18"/>
      <x:c r="L74" s="18" t="str">
        <x:v>Yes</x:v>
      </x:c>
      <x:c r="M74" s="18" t="str">
        <x:f>IF(A74="","",A74&amp;"|"&amp;B74)</x:f>
      </x:c>
      <x:c r="N74" s="18"/>
    </x:row>
    <x:row r="75">
      <x:c r="A75" s="18"/>
      <x:c r="B75" s="18"/>
      <x:c r="C75" s="18"/>
      <x:c r="D75" s="19"/>
      <x:c r="E75" s="20"/>
      <x:c r="F75" s="20"/>
      <x:c r="G75" s="20" t="str">
        <x:f>IF(A75="","",IF(C75="Manual","Manual",MAX(0,IF(E75="",1,E75)-IF(OR(D75="",D75&lt;SWITCH(C75,"Daily",TODAY(),"Weekly",IFERROR(VLOOKUP(A75,'VIP Signups'!$A$5:$B$204,2,FALSE)+INT((TODAY()-VLOOKUP(A75,'VIP Signups'!$A$5:$B$204,2,FALSE))/7)*7,TODAY()),"Monthly",IFERROR(EDATE(VLOOKUP(A75,'VIP Signups'!$A$5:$B$204,2,FALSE),DATEDIF(VLOOKUP(A75,'VIP Signups'!$A$5:$B$204,2,FALSE),TODAY(),"M")),TODAY()),"Quarterly",IFERROR(EDATE(VLOOKUP(A75,'VIP Signups'!$A$5:$B$204,2,FALSE),INT(DATEDIF(VLOOKUP(A75,'VIP Signups'!$A$5:$B$204,2,FALSE),TODAY(),"M")/3)*3),TODAY()),"Yearly",IFERROR(EDATE(VLOOKUP(A75,'VIP Signups'!$A$5:$B$204,2,FALSE),DATEDIF(VLOOKUP(A75,'VIP Signups'!$A$5:$B$204,2,FALSE),TODAY(),"Y")*12),TODAY()),"One-time",IFERROR(VLOOKUP(A75,'VIP Signups'!$A$5:$B$204,2,FALSE),D75),"Manual",TODAY(),TODAY())),0,IF(F75="",0,F75)))))</x:f>
      </x:c>
      <x:c r="H75" s="19" t="str">
        <x:f>IF(A75="","",SWITCH(C75,"Daily",TODAY()+1,"Weekly",IFERROR(VLOOKUP(A75,'VIP Signups'!$A$5:$B$204,2,FALSE)+CEILING((TODAY()-VLOOKUP(A75,'VIP Signups'!$A$5:$B$204,2,FALSE)+1)/7,1)*7,D75+7),"Monthly",IFERROR(EDATE(VLOOKUP(A75,'VIP Signups'!$A$5:$B$204,2,FALSE),DATEDIF(VLOOKUP(A75,'VIP Signups'!$A$5:$B$204,2,FALSE),TODAY(),"M")+1),EDATE(D75,1)),"Quarterly",IFERROR(EDATE(VLOOKUP(A75,'VIP Signups'!$A$5:$B$204,2,FALSE),(INT(DATEDIF(VLOOKUP(A75,'VIP Signups'!$A$5:$B$204,2,FALSE),TODAY(),"M")/3)+1)*3),EDATE(D75,3)),"Yearly",IFERROR(EDATE(VLOOKUP(A75,'VIP Signups'!$A$5:$B$204,2,FALSE),(DATEDIF(VLOOKUP(A75,'VIP Signups'!$A$5:$B$204,2,FALSE),TODAY(),"Y")+1)*12),EDATE(D75,12)),"One-time","Used","Manual","Manual",""))</x:f>
      </x:c>
      <x:c r="I75" s="18" t="str">
        <x:f>IF(A75="","",IF(G75="Manual","Manual",IF(G75&gt;0,"Yes","No")))</x:f>
      </x:c>
      <x:c r="J75" s="18" t="str">
        <x:f>IF(A75="","",B75&amp;": "&amp;IF(I75="Yes","Available ("&amp;G75&amp;"/"&amp;IF(E75="",1,E75)&amp;" left)",IF(I75="Manual","Manual check",IF(ISNUMBER(H75),"0/"&amp;IF(E75="",1,E75)&amp;" left; resets "&amp;TEXT(H75,"yyyy-mm-dd"),"Used"))))</x:f>
      </x:c>
      <x:c r="K75" s="18"/>
      <x:c r="L75" s="18" t="str">
        <x:v>Yes</x:v>
      </x:c>
      <x:c r="M75" s="18" t="str">
        <x:f>IF(A75="","",A75&amp;"|"&amp;B75)</x:f>
      </x:c>
      <x:c r="N75" s="18"/>
    </x:row>
    <x:row r="76">
      <x:c r="A76" s="18"/>
      <x:c r="B76" s="18"/>
      <x:c r="C76" s="18"/>
      <x:c r="D76" s="19"/>
      <x:c r="E76" s="20"/>
      <x:c r="F76" s="20"/>
      <x:c r="G76" s="20" t="str">
        <x:f>IF(A76="","",IF(C76="Manual","Manual",MAX(0,IF(E76="",1,E76)-IF(OR(D76="",D76&lt;SWITCH(C76,"Daily",TODAY(),"Weekly",IFERROR(VLOOKUP(A76,'VIP Signups'!$A$5:$B$204,2,FALSE)+INT((TODAY()-VLOOKUP(A76,'VIP Signups'!$A$5:$B$204,2,FALSE))/7)*7,TODAY()),"Monthly",IFERROR(EDATE(VLOOKUP(A76,'VIP Signups'!$A$5:$B$204,2,FALSE),DATEDIF(VLOOKUP(A76,'VIP Signups'!$A$5:$B$204,2,FALSE),TODAY(),"M")),TODAY()),"Quarterly",IFERROR(EDATE(VLOOKUP(A76,'VIP Signups'!$A$5:$B$204,2,FALSE),INT(DATEDIF(VLOOKUP(A76,'VIP Signups'!$A$5:$B$204,2,FALSE),TODAY(),"M")/3)*3),TODAY()),"Yearly",IFERROR(EDATE(VLOOKUP(A76,'VIP Signups'!$A$5:$B$204,2,FALSE),DATEDIF(VLOOKUP(A76,'VIP Signups'!$A$5:$B$204,2,FALSE),TODAY(),"Y")*12),TODAY()),"One-time",IFERROR(VLOOKUP(A76,'VIP Signups'!$A$5:$B$204,2,FALSE),D76),"Manual",TODAY(),TODAY())),0,IF(F76="",0,F76)))))</x:f>
      </x:c>
      <x:c r="H76" s="19" t="str">
        <x:f>IF(A76="","",SWITCH(C76,"Daily",TODAY()+1,"Weekly",IFERROR(VLOOKUP(A76,'VIP Signups'!$A$5:$B$204,2,FALSE)+CEILING((TODAY()-VLOOKUP(A76,'VIP Signups'!$A$5:$B$204,2,FALSE)+1)/7,1)*7,D76+7),"Monthly",IFERROR(EDATE(VLOOKUP(A76,'VIP Signups'!$A$5:$B$204,2,FALSE),DATEDIF(VLOOKUP(A76,'VIP Signups'!$A$5:$B$204,2,FALSE),TODAY(),"M")+1),EDATE(D76,1)),"Quarterly",IFERROR(EDATE(VLOOKUP(A76,'VIP Signups'!$A$5:$B$204,2,FALSE),(INT(DATEDIF(VLOOKUP(A76,'VIP Signups'!$A$5:$B$204,2,FALSE),TODAY(),"M")/3)+1)*3),EDATE(D76,3)),"Yearly",IFERROR(EDATE(VLOOKUP(A76,'VIP Signups'!$A$5:$B$204,2,FALSE),(DATEDIF(VLOOKUP(A76,'VIP Signups'!$A$5:$B$204,2,FALSE),TODAY(),"Y")+1)*12),EDATE(D76,12)),"One-time","Used","Manual","Manual",""))</x:f>
      </x:c>
      <x:c r="I76" s="18" t="str">
        <x:f>IF(A76="","",IF(G76="Manual","Manual",IF(G76&gt;0,"Yes","No")))</x:f>
      </x:c>
      <x:c r="J76" s="18" t="str">
        <x:f>IF(A76="","",B76&amp;": "&amp;IF(I76="Yes","Available ("&amp;G76&amp;"/"&amp;IF(E76="",1,E76)&amp;" left)",IF(I76="Manual","Manual check",IF(ISNUMBER(H76),"0/"&amp;IF(E76="",1,E76)&amp;" left; resets "&amp;TEXT(H76,"yyyy-mm-dd"),"Used"))))</x:f>
      </x:c>
      <x:c r="K76" s="18"/>
      <x:c r="L76" s="18" t="str">
        <x:v>Yes</x:v>
      </x:c>
      <x:c r="M76" s="18" t="str">
        <x:f>IF(A76="","",A76&amp;"|"&amp;B76)</x:f>
      </x:c>
      <x:c r="N76" s="18"/>
    </x:row>
    <x:row r="77">
      <x:c r="A77" s="18"/>
      <x:c r="B77" s="18"/>
      <x:c r="C77" s="18"/>
      <x:c r="D77" s="19"/>
      <x:c r="E77" s="20"/>
      <x:c r="F77" s="20"/>
      <x:c r="G77" s="20" t="str">
        <x:f>IF(A77="","",IF(C77="Manual","Manual",MAX(0,IF(E77="",1,E77)-IF(OR(D77="",D77&lt;SWITCH(C77,"Daily",TODAY(),"Weekly",IFERROR(VLOOKUP(A77,'VIP Signups'!$A$5:$B$204,2,FALSE)+INT((TODAY()-VLOOKUP(A77,'VIP Signups'!$A$5:$B$204,2,FALSE))/7)*7,TODAY()),"Monthly",IFERROR(EDATE(VLOOKUP(A77,'VIP Signups'!$A$5:$B$204,2,FALSE),DATEDIF(VLOOKUP(A77,'VIP Signups'!$A$5:$B$204,2,FALSE),TODAY(),"M")),TODAY()),"Quarterly",IFERROR(EDATE(VLOOKUP(A77,'VIP Signups'!$A$5:$B$204,2,FALSE),INT(DATEDIF(VLOOKUP(A77,'VIP Signups'!$A$5:$B$204,2,FALSE),TODAY(),"M")/3)*3),TODAY()),"Yearly",IFERROR(EDATE(VLOOKUP(A77,'VIP Signups'!$A$5:$B$204,2,FALSE),DATEDIF(VLOOKUP(A77,'VIP Signups'!$A$5:$B$204,2,FALSE),TODAY(),"Y")*12),TODAY()),"One-time",IFERROR(VLOOKUP(A77,'VIP Signups'!$A$5:$B$204,2,FALSE),D77),"Manual",TODAY(),TODAY())),0,IF(F77="",0,F77)))))</x:f>
      </x:c>
      <x:c r="H77" s="19" t="str">
        <x:f>IF(A77="","",SWITCH(C77,"Daily",TODAY()+1,"Weekly",IFERROR(VLOOKUP(A77,'VIP Signups'!$A$5:$B$204,2,FALSE)+CEILING((TODAY()-VLOOKUP(A77,'VIP Signups'!$A$5:$B$204,2,FALSE)+1)/7,1)*7,D77+7),"Monthly",IFERROR(EDATE(VLOOKUP(A77,'VIP Signups'!$A$5:$B$204,2,FALSE),DATEDIF(VLOOKUP(A77,'VIP Signups'!$A$5:$B$204,2,FALSE),TODAY(),"M")+1),EDATE(D77,1)),"Quarterly",IFERROR(EDATE(VLOOKUP(A77,'VIP Signups'!$A$5:$B$204,2,FALSE),(INT(DATEDIF(VLOOKUP(A77,'VIP Signups'!$A$5:$B$204,2,FALSE),TODAY(),"M")/3)+1)*3),EDATE(D77,3)),"Yearly",IFERROR(EDATE(VLOOKUP(A77,'VIP Signups'!$A$5:$B$204,2,FALSE),(DATEDIF(VLOOKUP(A77,'VIP Signups'!$A$5:$B$204,2,FALSE),TODAY(),"Y")+1)*12),EDATE(D77,12)),"One-time","Used","Manual","Manual",""))</x:f>
      </x:c>
      <x:c r="I77" s="18" t="str">
        <x:f>IF(A77="","",IF(G77="Manual","Manual",IF(G77&gt;0,"Yes","No")))</x:f>
      </x:c>
      <x:c r="J77" s="18" t="str">
        <x:f>IF(A77="","",B77&amp;": "&amp;IF(I77="Yes","Available ("&amp;G77&amp;"/"&amp;IF(E77="",1,E77)&amp;" left)",IF(I77="Manual","Manual check",IF(ISNUMBER(H77),"0/"&amp;IF(E77="",1,E77)&amp;" left; resets "&amp;TEXT(H77,"yyyy-mm-dd"),"Used"))))</x:f>
      </x:c>
      <x:c r="K77" s="18"/>
      <x:c r="L77" s="18" t="str">
        <x:v>Yes</x:v>
      </x:c>
      <x:c r="M77" s="18" t="str">
        <x:f>IF(A77="","",A77&amp;"|"&amp;B77)</x:f>
      </x:c>
      <x:c r="N77" s="18"/>
    </x:row>
    <x:row r="78">
      <x:c r="A78" s="18"/>
      <x:c r="B78" s="18"/>
      <x:c r="C78" s="18"/>
      <x:c r="D78" s="19"/>
      <x:c r="E78" s="20"/>
      <x:c r="F78" s="20"/>
      <x:c r="G78" s="20" t="str">
        <x:f>IF(A78="","",IF(C78="Manual","Manual",MAX(0,IF(E78="",1,E78)-IF(OR(D78="",D78&lt;SWITCH(C78,"Daily",TODAY(),"Weekly",IFERROR(VLOOKUP(A78,'VIP Signups'!$A$5:$B$204,2,FALSE)+INT((TODAY()-VLOOKUP(A78,'VIP Signups'!$A$5:$B$204,2,FALSE))/7)*7,TODAY()),"Monthly",IFERROR(EDATE(VLOOKUP(A78,'VIP Signups'!$A$5:$B$204,2,FALSE),DATEDIF(VLOOKUP(A78,'VIP Signups'!$A$5:$B$204,2,FALSE),TODAY(),"M")),TODAY()),"Quarterly",IFERROR(EDATE(VLOOKUP(A78,'VIP Signups'!$A$5:$B$204,2,FALSE),INT(DATEDIF(VLOOKUP(A78,'VIP Signups'!$A$5:$B$204,2,FALSE),TODAY(),"M")/3)*3),TODAY()),"Yearly",IFERROR(EDATE(VLOOKUP(A78,'VIP Signups'!$A$5:$B$204,2,FALSE),DATEDIF(VLOOKUP(A78,'VIP Signups'!$A$5:$B$204,2,FALSE),TODAY(),"Y")*12),TODAY()),"One-time",IFERROR(VLOOKUP(A78,'VIP Signups'!$A$5:$B$204,2,FALSE),D78),"Manual",TODAY(),TODAY())),0,IF(F78="",0,F78)))))</x:f>
      </x:c>
      <x:c r="H78" s="19" t="str">
        <x:f>IF(A78="","",SWITCH(C78,"Daily",TODAY()+1,"Weekly",IFERROR(VLOOKUP(A78,'VIP Signups'!$A$5:$B$204,2,FALSE)+CEILING((TODAY()-VLOOKUP(A78,'VIP Signups'!$A$5:$B$204,2,FALSE)+1)/7,1)*7,D78+7),"Monthly",IFERROR(EDATE(VLOOKUP(A78,'VIP Signups'!$A$5:$B$204,2,FALSE),DATEDIF(VLOOKUP(A78,'VIP Signups'!$A$5:$B$204,2,FALSE),TODAY(),"M")+1),EDATE(D78,1)),"Quarterly",IFERROR(EDATE(VLOOKUP(A78,'VIP Signups'!$A$5:$B$204,2,FALSE),(INT(DATEDIF(VLOOKUP(A78,'VIP Signups'!$A$5:$B$204,2,FALSE),TODAY(),"M")/3)+1)*3),EDATE(D78,3)),"Yearly",IFERROR(EDATE(VLOOKUP(A78,'VIP Signups'!$A$5:$B$204,2,FALSE),(DATEDIF(VLOOKUP(A78,'VIP Signups'!$A$5:$B$204,2,FALSE),TODAY(),"Y")+1)*12),EDATE(D78,12)),"One-time","Used","Manual","Manual",""))</x:f>
      </x:c>
      <x:c r="I78" s="18" t="str">
        <x:f>IF(A78="","",IF(G78="Manual","Manual",IF(G78&gt;0,"Yes","No")))</x:f>
      </x:c>
      <x:c r="J78" s="18" t="str">
        <x:f>IF(A78="","",B78&amp;": "&amp;IF(I78="Yes","Available ("&amp;G78&amp;"/"&amp;IF(E78="",1,E78)&amp;" left)",IF(I78="Manual","Manual check",IF(ISNUMBER(H78),"0/"&amp;IF(E78="",1,E78)&amp;" left; resets "&amp;TEXT(H78,"yyyy-mm-dd"),"Used"))))</x:f>
      </x:c>
      <x:c r="K78" s="18"/>
      <x:c r="L78" s="18" t="str">
        <x:v>Yes</x:v>
      </x:c>
      <x:c r="M78" s="18" t="str">
        <x:f>IF(A78="","",A78&amp;"|"&amp;B78)</x:f>
      </x:c>
      <x:c r="N78" s="18"/>
    </x:row>
    <x:row r="79">
      <x:c r="A79" s="18"/>
      <x:c r="B79" s="18"/>
      <x:c r="C79" s="18"/>
      <x:c r="D79" s="19"/>
      <x:c r="E79" s="20"/>
      <x:c r="F79" s="20"/>
      <x:c r="G79" s="20" t="str">
        <x:f>IF(A79="","",IF(C79="Manual","Manual",MAX(0,IF(E79="",1,E79)-IF(OR(D79="",D79&lt;SWITCH(C79,"Daily",TODAY(),"Weekly",IFERROR(VLOOKUP(A79,'VIP Signups'!$A$5:$B$204,2,FALSE)+INT((TODAY()-VLOOKUP(A79,'VIP Signups'!$A$5:$B$204,2,FALSE))/7)*7,TODAY()),"Monthly",IFERROR(EDATE(VLOOKUP(A79,'VIP Signups'!$A$5:$B$204,2,FALSE),DATEDIF(VLOOKUP(A79,'VIP Signups'!$A$5:$B$204,2,FALSE),TODAY(),"M")),TODAY()),"Quarterly",IFERROR(EDATE(VLOOKUP(A79,'VIP Signups'!$A$5:$B$204,2,FALSE),INT(DATEDIF(VLOOKUP(A79,'VIP Signups'!$A$5:$B$204,2,FALSE),TODAY(),"M")/3)*3),TODAY()),"Yearly",IFERROR(EDATE(VLOOKUP(A79,'VIP Signups'!$A$5:$B$204,2,FALSE),DATEDIF(VLOOKUP(A79,'VIP Signups'!$A$5:$B$204,2,FALSE),TODAY(),"Y")*12),TODAY()),"One-time",IFERROR(VLOOKUP(A79,'VIP Signups'!$A$5:$B$204,2,FALSE),D79),"Manual",TODAY(),TODAY())),0,IF(F79="",0,F79)))))</x:f>
      </x:c>
      <x:c r="H79" s="19" t="str">
        <x:f>IF(A79="","",SWITCH(C79,"Daily",TODAY()+1,"Weekly",IFERROR(VLOOKUP(A79,'VIP Signups'!$A$5:$B$204,2,FALSE)+CEILING((TODAY()-VLOOKUP(A79,'VIP Signups'!$A$5:$B$204,2,FALSE)+1)/7,1)*7,D79+7),"Monthly",IFERROR(EDATE(VLOOKUP(A79,'VIP Signups'!$A$5:$B$204,2,FALSE),DATEDIF(VLOOKUP(A79,'VIP Signups'!$A$5:$B$204,2,FALSE),TODAY(),"M")+1),EDATE(D79,1)),"Quarterly",IFERROR(EDATE(VLOOKUP(A79,'VIP Signups'!$A$5:$B$204,2,FALSE),(INT(DATEDIF(VLOOKUP(A79,'VIP Signups'!$A$5:$B$204,2,FALSE),TODAY(),"M")/3)+1)*3),EDATE(D79,3)),"Yearly",IFERROR(EDATE(VLOOKUP(A79,'VIP Signups'!$A$5:$B$204,2,FALSE),(DATEDIF(VLOOKUP(A79,'VIP Signups'!$A$5:$B$204,2,FALSE),TODAY(),"Y")+1)*12),EDATE(D79,12)),"One-time","Used","Manual","Manual",""))</x:f>
      </x:c>
      <x:c r="I79" s="18" t="str">
        <x:f>IF(A79="","",IF(G79="Manual","Manual",IF(G79&gt;0,"Yes","No")))</x:f>
      </x:c>
      <x:c r="J79" s="18" t="str">
        <x:f>IF(A79="","",B79&amp;": "&amp;IF(I79="Yes","Available ("&amp;G79&amp;"/"&amp;IF(E79="",1,E79)&amp;" left)",IF(I79="Manual","Manual check",IF(ISNUMBER(H79),"0/"&amp;IF(E79="",1,E79)&amp;" left; resets "&amp;TEXT(H79,"yyyy-mm-dd"),"Used"))))</x:f>
      </x:c>
      <x:c r="K79" s="18"/>
      <x:c r="L79" s="18" t="str">
        <x:v>Yes</x:v>
      </x:c>
      <x:c r="M79" s="18" t="str">
        <x:f>IF(A79="","",A79&amp;"|"&amp;B79)</x:f>
      </x:c>
      <x:c r="N79" s="18"/>
    </x:row>
    <x:row r="80">
      <x:c r="A80" s="18"/>
      <x:c r="B80" s="18"/>
      <x:c r="C80" s="18"/>
      <x:c r="D80" s="19"/>
      <x:c r="E80" s="20"/>
      <x:c r="F80" s="20"/>
      <x:c r="G80" s="20" t="str">
        <x:f>IF(A80="","",IF(C80="Manual","Manual",MAX(0,IF(E80="",1,E80)-IF(OR(D80="",D80&lt;SWITCH(C80,"Daily",TODAY(),"Weekly",IFERROR(VLOOKUP(A80,'VIP Signups'!$A$5:$B$204,2,FALSE)+INT((TODAY()-VLOOKUP(A80,'VIP Signups'!$A$5:$B$204,2,FALSE))/7)*7,TODAY()),"Monthly",IFERROR(EDATE(VLOOKUP(A80,'VIP Signups'!$A$5:$B$204,2,FALSE),DATEDIF(VLOOKUP(A80,'VIP Signups'!$A$5:$B$204,2,FALSE),TODAY(),"M")),TODAY()),"Quarterly",IFERROR(EDATE(VLOOKUP(A80,'VIP Signups'!$A$5:$B$204,2,FALSE),INT(DATEDIF(VLOOKUP(A80,'VIP Signups'!$A$5:$B$204,2,FALSE),TODAY(),"M")/3)*3),TODAY()),"Yearly",IFERROR(EDATE(VLOOKUP(A80,'VIP Signups'!$A$5:$B$204,2,FALSE),DATEDIF(VLOOKUP(A80,'VIP Signups'!$A$5:$B$204,2,FALSE),TODAY(),"Y")*12),TODAY()),"One-time",IFERROR(VLOOKUP(A80,'VIP Signups'!$A$5:$B$204,2,FALSE),D80),"Manual",TODAY(),TODAY())),0,IF(F80="",0,F80)))))</x:f>
      </x:c>
      <x:c r="H80" s="19" t="str">
        <x:f>IF(A80="","",SWITCH(C80,"Daily",TODAY()+1,"Weekly",IFERROR(VLOOKUP(A80,'VIP Signups'!$A$5:$B$204,2,FALSE)+CEILING((TODAY()-VLOOKUP(A80,'VIP Signups'!$A$5:$B$204,2,FALSE)+1)/7,1)*7,D80+7),"Monthly",IFERROR(EDATE(VLOOKUP(A80,'VIP Signups'!$A$5:$B$204,2,FALSE),DATEDIF(VLOOKUP(A80,'VIP Signups'!$A$5:$B$204,2,FALSE),TODAY(),"M")+1),EDATE(D80,1)),"Quarterly",IFERROR(EDATE(VLOOKUP(A80,'VIP Signups'!$A$5:$B$204,2,FALSE),(INT(DATEDIF(VLOOKUP(A80,'VIP Signups'!$A$5:$B$204,2,FALSE),TODAY(),"M")/3)+1)*3),EDATE(D80,3)),"Yearly",IFERROR(EDATE(VLOOKUP(A80,'VIP Signups'!$A$5:$B$204,2,FALSE),(DATEDIF(VLOOKUP(A80,'VIP Signups'!$A$5:$B$204,2,FALSE),TODAY(),"Y")+1)*12),EDATE(D80,12)),"One-time","Used","Manual","Manual",""))</x:f>
      </x:c>
      <x:c r="I80" s="18" t="str">
        <x:f>IF(A80="","",IF(G80="Manual","Manual",IF(G80&gt;0,"Yes","No")))</x:f>
      </x:c>
      <x:c r="J80" s="18" t="str">
        <x:f>IF(A80="","",B80&amp;": "&amp;IF(I80="Yes","Available ("&amp;G80&amp;"/"&amp;IF(E80="",1,E80)&amp;" left)",IF(I80="Manual","Manual check",IF(ISNUMBER(H80),"0/"&amp;IF(E80="",1,E80)&amp;" left; resets "&amp;TEXT(H80,"yyyy-mm-dd"),"Used"))))</x:f>
      </x:c>
      <x:c r="K80" s="18"/>
      <x:c r="L80" s="18" t="str">
        <x:v>Yes</x:v>
      </x:c>
      <x:c r="M80" s="18" t="str">
        <x:f>IF(A80="","",A80&amp;"|"&amp;B80)</x:f>
      </x:c>
      <x:c r="N80" s="18"/>
    </x:row>
    <x:row r="81">
      <x:c r="A81" s="18"/>
      <x:c r="B81" s="18"/>
      <x:c r="C81" s="18"/>
      <x:c r="D81" s="19"/>
      <x:c r="E81" s="20"/>
      <x:c r="F81" s="20"/>
      <x:c r="G81" s="20" t="str">
        <x:f>IF(A81="","",IF(C81="Manual","Manual",MAX(0,IF(E81="",1,E81)-IF(OR(D81="",D81&lt;SWITCH(C81,"Daily",TODAY(),"Weekly",IFERROR(VLOOKUP(A81,'VIP Signups'!$A$5:$B$204,2,FALSE)+INT((TODAY()-VLOOKUP(A81,'VIP Signups'!$A$5:$B$204,2,FALSE))/7)*7,TODAY()),"Monthly",IFERROR(EDATE(VLOOKUP(A81,'VIP Signups'!$A$5:$B$204,2,FALSE),DATEDIF(VLOOKUP(A81,'VIP Signups'!$A$5:$B$204,2,FALSE),TODAY(),"M")),TODAY()),"Quarterly",IFERROR(EDATE(VLOOKUP(A81,'VIP Signups'!$A$5:$B$204,2,FALSE),INT(DATEDIF(VLOOKUP(A81,'VIP Signups'!$A$5:$B$204,2,FALSE),TODAY(),"M")/3)*3),TODAY()),"Yearly",IFERROR(EDATE(VLOOKUP(A81,'VIP Signups'!$A$5:$B$204,2,FALSE),DATEDIF(VLOOKUP(A81,'VIP Signups'!$A$5:$B$204,2,FALSE),TODAY(),"Y")*12),TODAY()),"One-time",IFERROR(VLOOKUP(A81,'VIP Signups'!$A$5:$B$204,2,FALSE),D81),"Manual",TODAY(),TODAY())),0,IF(F81="",0,F81)))))</x:f>
      </x:c>
      <x:c r="H81" s="19" t="str">
        <x:f>IF(A81="","",SWITCH(C81,"Daily",TODAY()+1,"Weekly",IFERROR(VLOOKUP(A81,'VIP Signups'!$A$5:$B$204,2,FALSE)+CEILING((TODAY()-VLOOKUP(A81,'VIP Signups'!$A$5:$B$204,2,FALSE)+1)/7,1)*7,D81+7),"Monthly",IFERROR(EDATE(VLOOKUP(A81,'VIP Signups'!$A$5:$B$204,2,FALSE),DATEDIF(VLOOKUP(A81,'VIP Signups'!$A$5:$B$204,2,FALSE),TODAY(),"M")+1),EDATE(D81,1)),"Quarterly",IFERROR(EDATE(VLOOKUP(A81,'VIP Signups'!$A$5:$B$204,2,FALSE),(INT(DATEDIF(VLOOKUP(A81,'VIP Signups'!$A$5:$B$204,2,FALSE),TODAY(),"M")/3)+1)*3),EDATE(D81,3)),"Yearly",IFERROR(EDATE(VLOOKUP(A81,'VIP Signups'!$A$5:$B$204,2,FALSE),(DATEDIF(VLOOKUP(A81,'VIP Signups'!$A$5:$B$204,2,FALSE),TODAY(),"Y")+1)*12),EDATE(D81,12)),"One-time","Used","Manual","Manual",""))</x:f>
      </x:c>
      <x:c r="I81" s="18" t="str">
        <x:f>IF(A81="","",IF(G81="Manual","Manual",IF(G81&gt;0,"Yes","No")))</x:f>
      </x:c>
      <x:c r="J81" s="18" t="str">
        <x:f>IF(A81="","",B81&amp;": "&amp;IF(I81="Yes","Available ("&amp;G81&amp;"/"&amp;IF(E81="",1,E81)&amp;" left)",IF(I81="Manual","Manual check",IF(ISNUMBER(H81),"0/"&amp;IF(E81="",1,E81)&amp;" left; resets "&amp;TEXT(H81,"yyyy-mm-dd"),"Used"))))</x:f>
      </x:c>
      <x:c r="K81" s="18"/>
      <x:c r="L81" s="18" t="str">
        <x:v>Yes</x:v>
      </x:c>
      <x:c r="M81" s="18" t="str">
        <x:f>IF(A81="","",A81&amp;"|"&amp;B81)</x:f>
      </x:c>
      <x:c r="N81" s="18"/>
    </x:row>
    <x:row r="82">
      <x:c r="A82" s="18"/>
      <x:c r="B82" s="18"/>
      <x:c r="C82" s="18"/>
      <x:c r="D82" s="19"/>
      <x:c r="E82" s="20"/>
      <x:c r="F82" s="20"/>
      <x:c r="G82" s="20" t="str">
        <x:f>IF(A82="","",IF(C82="Manual","Manual",MAX(0,IF(E82="",1,E82)-IF(OR(D82="",D82&lt;SWITCH(C82,"Daily",TODAY(),"Weekly",IFERROR(VLOOKUP(A82,'VIP Signups'!$A$5:$B$204,2,FALSE)+INT((TODAY()-VLOOKUP(A82,'VIP Signups'!$A$5:$B$204,2,FALSE))/7)*7,TODAY()),"Monthly",IFERROR(EDATE(VLOOKUP(A82,'VIP Signups'!$A$5:$B$204,2,FALSE),DATEDIF(VLOOKUP(A82,'VIP Signups'!$A$5:$B$204,2,FALSE),TODAY(),"M")),TODAY()),"Quarterly",IFERROR(EDATE(VLOOKUP(A82,'VIP Signups'!$A$5:$B$204,2,FALSE),INT(DATEDIF(VLOOKUP(A82,'VIP Signups'!$A$5:$B$204,2,FALSE),TODAY(),"M")/3)*3),TODAY()),"Yearly",IFERROR(EDATE(VLOOKUP(A82,'VIP Signups'!$A$5:$B$204,2,FALSE),DATEDIF(VLOOKUP(A82,'VIP Signups'!$A$5:$B$204,2,FALSE),TODAY(),"Y")*12),TODAY()),"One-time",IFERROR(VLOOKUP(A82,'VIP Signups'!$A$5:$B$204,2,FALSE),D82),"Manual",TODAY(),TODAY())),0,IF(F82="",0,F82)))))</x:f>
      </x:c>
      <x:c r="H82" s="19" t="str">
        <x:f>IF(A82="","",SWITCH(C82,"Daily",TODAY()+1,"Weekly",IFERROR(VLOOKUP(A82,'VIP Signups'!$A$5:$B$204,2,FALSE)+CEILING((TODAY()-VLOOKUP(A82,'VIP Signups'!$A$5:$B$204,2,FALSE)+1)/7,1)*7,D82+7),"Monthly",IFERROR(EDATE(VLOOKUP(A82,'VIP Signups'!$A$5:$B$204,2,FALSE),DATEDIF(VLOOKUP(A82,'VIP Signups'!$A$5:$B$204,2,FALSE),TODAY(),"M")+1),EDATE(D82,1)),"Quarterly",IFERROR(EDATE(VLOOKUP(A82,'VIP Signups'!$A$5:$B$204,2,FALSE),(INT(DATEDIF(VLOOKUP(A82,'VIP Signups'!$A$5:$B$204,2,FALSE),TODAY(),"M")/3)+1)*3),EDATE(D82,3)),"Yearly",IFERROR(EDATE(VLOOKUP(A82,'VIP Signups'!$A$5:$B$204,2,FALSE),(DATEDIF(VLOOKUP(A82,'VIP Signups'!$A$5:$B$204,2,FALSE),TODAY(),"Y")+1)*12),EDATE(D82,12)),"One-time","Used","Manual","Manual",""))</x:f>
      </x:c>
      <x:c r="I82" s="18" t="str">
        <x:f>IF(A82="","",IF(G82="Manual","Manual",IF(G82&gt;0,"Yes","No")))</x:f>
      </x:c>
      <x:c r="J82" s="18" t="str">
        <x:f>IF(A82="","",B82&amp;": "&amp;IF(I82="Yes","Available ("&amp;G82&amp;"/"&amp;IF(E82="",1,E82)&amp;" left)",IF(I82="Manual","Manual check",IF(ISNUMBER(H82),"0/"&amp;IF(E82="",1,E82)&amp;" left; resets "&amp;TEXT(H82,"yyyy-mm-dd"),"Used"))))</x:f>
      </x:c>
      <x:c r="K82" s="18"/>
      <x:c r="L82" s="18" t="str">
        <x:v>Yes</x:v>
      </x:c>
      <x:c r="M82" s="18" t="str">
        <x:f>IF(A82="","",A82&amp;"|"&amp;B82)</x:f>
      </x:c>
      <x:c r="N82" s="18"/>
    </x:row>
    <x:row r="83">
      <x:c r="A83" s="18"/>
      <x:c r="B83" s="18"/>
      <x:c r="C83" s="18"/>
      <x:c r="D83" s="19"/>
      <x:c r="E83" s="20"/>
      <x:c r="F83" s="20"/>
      <x:c r="G83" s="20" t="str">
        <x:f>IF(A83="","",IF(C83="Manual","Manual",MAX(0,IF(E83="",1,E83)-IF(OR(D83="",D83&lt;SWITCH(C83,"Daily",TODAY(),"Weekly",IFERROR(VLOOKUP(A83,'VIP Signups'!$A$5:$B$204,2,FALSE)+INT((TODAY()-VLOOKUP(A83,'VIP Signups'!$A$5:$B$204,2,FALSE))/7)*7,TODAY()),"Monthly",IFERROR(EDATE(VLOOKUP(A83,'VIP Signups'!$A$5:$B$204,2,FALSE),DATEDIF(VLOOKUP(A83,'VIP Signups'!$A$5:$B$204,2,FALSE),TODAY(),"M")),TODAY()),"Quarterly",IFERROR(EDATE(VLOOKUP(A83,'VIP Signups'!$A$5:$B$204,2,FALSE),INT(DATEDIF(VLOOKUP(A83,'VIP Signups'!$A$5:$B$204,2,FALSE),TODAY(),"M")/3)*3),TODAY()),"Yearly",IFERROR(EDATE(VLOOKUP(A83,'VIP Signups'!$A$5:$B$204,2,FALSE),DATEDIF(VLOOKUP(A83,'VIP Signups'!$A$5:$B$204,2,FALSE),TODAY(),"Y")*12),TODAY()),"One-time",IFERROR(VLOOKUP(A83,'VIP Signups'!$A$5:$B$204,2,FALSE),D83),"Manual",TODAY(),TODAY())),0,IF(F83="",0,F83)))))</x:f>
      </x:c>
      <x:c r="H83" s="19" t="str">
        <x:f>IF(A83="","",SWITCH(C83,"Daily",TODAY()+1,"Weekly",IFERROR(VLOOKUP(A83,'VIP Signups'!$A$5:$B$204,2,FALSE)+CEILING((TODAY()-VLOOKUP(A83,'VIP Signups'!$A$5:$B$204,2,FALSE)+1)/7,1)*7,D83+7),"Monthly",IFERROR(EDATE(VLOOKUP(A83,'VIP Signups'!$A$5:$B$204,2,FALSE),DATEDIF(VLOOKUP(A83,'VIP Signups'!$A$5:$B$204,2,FALSE),TODAY(),"M")+1),EDATE(D83,1)),"Quarterly",IFERROR(EDATE(VLOOKUP(A83,'VIP Signups'!$A$5:$B$204,2,FALSE),(INT(DATEDIF(VLOOKUP(A83,'VIP Signups'!$A$5:$B$204,2,FALSE),TODAY(),"M")/3)+1)*3),EDATE(D83,3)),"Yearly",IFERROR(EDATE(VLOOKUP(A83,'VIP Signups'!$A$5:$B$204,2,FALSE),(DATEDIF(VLOOKUP(A83,'VIP Signups'!$A$5:$B$204,2,FALSE),TODAY(),"Y")+1)*12),EDATE(D83,12)),"One-time","Used","Manual","Manual",""))</x:f>
      </x:c>
      <x:c r="I83" s="18" t="str">
        <x:f>IF(A83="","",IF(G83="Manual","Manual",IF(G83&gt;0,"Yes","No")))</x:f>
      </x:c>
      <x:c r="J83" s="18" t="str">
        <x:f>IF(A83="","",B83&amp;": "&amp;IF(I83="Yes","Available ("&amp;G83&amp;"/"&amp;IF(E83="",1,E83)&amp;" left)",IF(I83="Manual","Manual check",IF(ISNUMBER(H83),"0/"&amp;IF(E83="",1,E83)&amp;" left; resets "&amp;TEXT(H83,"yyyy-mm-dd"),"Used"))))</x:f>
      </x:c>
      <x:c r="K83" s="18"/>
      <x:c r="L83" s="18" t="str">
        <x:v>Yes</x:v>
      </x:c>
      <x:c r="M83" s="18" t="str">
        <x:f>IF(A83="","",A83&amp;"|"&amp;B83)</x:f>
      </x:c>
      <x:c r="N83" s="18"/>
    </x:row>
    <x:row r="84">
      <x:c r="A84" s="18"/>
      <x:c r="B84" s="18"/>
      <x:c r="C84" s="18"/>
      <x:c r="D84" s="19"/>
      <x:c r="E84" s="20"/>
      <x:c r="F84" s="20"/>
      <x:c r="G84" s="20" t="str">
        <x:f>IF(A84="","",IF(C84="Manual","Manual",MAX(0,IF(E84="",1,E84)-IF(OR(D84="",D84&lt;SWITCH(C84,"Daily",TODAY(),"Weekly",IFERROR(VLOOKUP(A84,'VIP Signups'!$A$5:$B$204,2,FALSE)+INT((TODAY()-VLOOKUP(A84,'VIP Signups'!$A$5:$B$204,2,FALSE))/7)*7,TODAY()),"Monthly",IFERROR(EDATE(VLOOKUP(A84,'VIP Signups'!$A$5:$B$204,2,FALSE),DATEDIF(VLOOKUP(A84,'VIP Signups'!$A$5:$B$204,2,FALSE),TODAY(),"M")),TODAY()),"Quarterly",IFERROR(EDATE(VLOOKUP(A84,'VIP Signups'!$A$5:$B$204,2,FALSE),INT(DATEDIF(VLOOKUP(A84,'VIP Signups'!$A$5:$B$204,2,FALSE),TODAY(),"M")/3)*3),TODAY()),"Yearly",IFERROR(EDATE(VLOOKUP(A84,'VIP Signups'!$A$5:$B$204,2,FALSE),DATEDIF(VLOOKUP(A84,'VIP Signups'!$A$5:$B$204,2,FALSE),TODAY(),"Y")*12),TODAY()),"One-time",IFERROR(VLOOKUP(A84,'VIP Signups'!$A$5:$B$204,2,FALSE),D84),"Manual",TODAY(),TODAY())),0,IF(F84="",0,F84)))))</x:f>
      </x:c>
      <x:c r="H84" s="19" t="str">
        <x:f>IF(A84="","",SWITCH(C84,"Daily",TODAY()+1,"Weekly",IFERROR(VLOOKUP(A84,'VIP Signups'!$A$5:$B$204,2,FALSE)+CEILING((TODAY()-VLOOKUP(A84,'VIP Signups'!$A$5:$B$204,2,FALSE)+1)/7,1)*7,D84+7),"Monthly",IFERROR(EDATE(VLOOKUP(A84,'VIP Signups'!$A$5:$B$204,2,FALSE),DATEDIF(VLOOKUP(A84,'VIP Signups'!$A$5:$B$204,2,FALSE),TODAY(),"M")+1),EDATE(D84,1)),"Quarterly",IFERROR(EDATE(VLOOKUP(A84,'VIP Signups'!$A$5:$B$204,2,FALSE),(INT(DATEDIF(VLOOKUP(A84,'VIP Signups'!$A$5:$B$204,2,FALSE),TODAY(),"M")/3)+1)*3),EDATE(D84,3)),"Yearly",IFERROR(EDATE(VLOOKUP(A84,'VIP Signups'!$A$5:$B$204,2,FALSE),(DATEDIF(VLOOKUP(A84,'VIP Signups'!$A$5:$B$204,2,FALSE),TODAY(),"Y")+1)*12),EDATE(D84,12)),"One-time","Used","Manual","Manual",""))</x:f>
      </x:c>
      <x:c r="I84" s="18" t="str">
        <x:f>IF(A84="","",IF(G84="Manual","Manual",IF(G84&gt;0,"Yes","No")))</x:f>
      </x:c>
      <x:c r="J84" s="18" t="str">
        <x:f>IF(A84="","",B84&amp;": "&amp;IF(I84="Yes","Available ("&amp;G84&amp;"/"&amp;IF(E84="",1,E84)&amp;" left)",IF(I84="Manual","Manual check",IF(ISNUMBER(H84),"0/"&amp;IF(E84="",1,E84)&amp;" left; resets "&amp;TEXT(H84,"yyyy-mm-dd"),"Used"))))</x:f>
      </x:c>
      <x:c r="K84" s="18"/>
      <x:c r="L84" s="18" t="str">
        <x:v>Yes</x:v>
      </x:c>
      <x:c r="M84" s="18" t="str">
        <x:f>IF(A84="","",A84&amp;"|"&amp;B84)</x:f>
      </x:c>
      <x:c r="N84" s="18"/>
    </x:row>
    <x:row r="85">
      <x:c r="A85" s="18"/>
      <x:c r="B85" s="18"/>
      <x:c r="C85" s="18"/>
      <x:c r="D85" s="19"/>
      <x:c r="E85" s="20"/>
      <x:c r="F85" s="20"/>
      <x:c r="G85" s="20" t="str">
        <x:f>IF(A85="","",IF(C85="Manual","Manual",MAX(0,IF(E85="",1,E85)-IF(OR(D85="",D85&lt;SWITCH(C85,"Daily",TODAY(),"Weekly",IFERROR(VLOOKUP(A85,'VIP Signups'!$A$5:$B$204,2,FALSE)+INT((TODAY()-VLOOKUP(A85,'VIP Signups'!$A$5:$B$204,2,FALSE))/7)*7,TODAY()),"Monthly",IFERROR(EDATE(VLOOKUP(A85,'VIP Signups'!$A$5:$B$204,2,FALSE),DATEDIF(VLOOKUP(A85,'VIP Signups'!$A$5:$B$204,2,FALSE),TODAY(),"M")),TODAY()),"Quarterly",IFERROR(EDATE(VLOOKUP(A85,'VIP Signups'!$A$5:$B$204,2,FALSE),INT(DATEDIF(VLOOKUP(A85,'VIP Signups'!$A$5:$B$204,2,FALSE),TODAY(),"M")/3)*3),TODAY()),"Yearly",IFERROR(EDATE(VLOOKUP(A85,'VIP Signups'!$A$5:$B$204,2,FALSE),DATEDIF(VLOOKUP(A85,'VIP Signups'!$A$5:$B$204,2,FALSE),TODAY(),"Y")*12),TODAY()),"One-time",IFERROR(VLOOKUP(A85,'VIP Signups'!$A$5:$B$204,2,FALSE),D85),"Manual",TODAY(),TODAY())),0,IF(F85="",0,F85)))))</x:f>
      </x:c>
      <x:c r="H85" s="19" t="str">
        <x:f>IF(A85="","",SWITCH(C85,"Daily",TODAY()+1,"Weekly",IFERROR(VLOOKUP(A85,'VIP Signups'!$A$5:$B$204,2,FALSE)+CEILING((TODAY()-VLOOKUP(A85,'VIP Signups'!$A$5:$B$204,2,FALSE)+1)/7,1)*7,D85+7),"Monthly",IFERROR(EDATE(VLOOKUP(A85,'VIP Signups'!$A$5:$B$204,2,FALSE),DATEDIF(VLOOKUP(A85,'VIP Signups'!$A$5:$B$204,2,FALSE),TODAY(),"M")+1),EDATE(D85,1)),"Quarterly",IFERROR(EDATE(VLOOKUP(A85,'VIP Signups'!$A$5:$B$204,2,FALSE),(INT(DATEDIF(VLOOKUP(A85,'VIP Signups'!$A$5:$B$204,2,FALSE),TODAY(),"M")/3)+1)*3),EDATE(D85,3)),"Yearly",IFERROR(EDATE(VLOOKUP(A85,'VIP Signups'!$A$5:$B$204,2,FALSE),(DATEDIF(VLOOKUP(A85,'VIP Signups'!$A$5:$B$204,2,FALSE),TODAY(),"Y")+1)*12),EDATE(D85,12)),"One-time","Used","Manual","Manual",""))</x:f>
      </x:c>
      <x:c r="I85" s="18" t="str">
        <x:f>IF(A85="","",IF(G85="Manual","Manual",IF(G85&gt;0,"Yes","No")))</x:f>
      </x:c>
      <x:c r="J85" s="18" t="str">
        <x:f>IF(A85="","",B85&amp;": "&amp;IF(I85="Yes","Available ("&amp;G85&amp;"/"&amp;IF(E85="",1,E85)&amp;" left)",IF(I85="Manual","Manual check",IF(ISNUMBER(H85),"0/"&amp;IF(E85="",1,E85)&amp;" left; resets "&amp;TEXT(H85,"yyyy-mm-dd"),"Used"))))</x:f>
      </x:c>
      <x:c r="K85" s="18"/>
      <x:c r="L85" s="18" t="str">
        <x:v>Yes</x:v>
      </x:c>
      <x:c r="M85" s="18" t="str">
        <x:f>IF(A85="","",A85&amp;"|"&amp;B85)</x:f>
      </x:c>
      <x:c r="N85" s="18"/>
    </x:row>
    <x:row r="86">
      <x:c r="A86" s="18"/>
      <x:c r="B86" s="18"/>
      <x:c r="C86" s="18"/>
      <x:c r="D86" s="19"/>
      <x:c r="E86" s="20"/>
      <x:c r="F86" s="20"/>
      <x:c r="G86" s="20" t="str">
        <x:f>IF(A86="","",IF(C86="Manual","Manual",MAX(0,IF(E86="",1,E86)-IF(OR(D86="",D86&lt;SWITCH(C86,"Daily",TODAY(),"Weekly",IFERROR(VLOOKUP(A86,'VIP Signups'!$A$5:$B$204,2,FALSE)+INT((TODAY()-VLOOKUP(A86,'VIP Signups'!$A$5:$B$204,2,FALSE))/7)*7,TODAY()),"Monthly",IFERROR(EDATE(VLOOKUP(A86,'VIP Signups'!$A$5:$B$204,2,FALSE),DATEDIF(VLOOKUP(A86,'VIP Signups'!$A$5:$B$204,2,FALSE),TODAY(),"M")),TODAY()),"Quarterly",IFERROR(EDATE(VLOOKUP(A86,'VIP Signups'!$A$5:$B$204,2,FALSE),INT(DATEDIF(VLOOKUP(A86,'VIP Signups'!$A$5:$B$204,2,FALSE),TODAY(),"M")/3)*3),TODAY()),"Yearly",IFERROR(EDATE(VLOOKUP(A86,'VIP Signups'!$A$5:$B$204,2,FALSE),DATEDIF(VLOOKUP(A86,'VIP Signups'!$A$5:$B$204,2,FALSE),TODAY(),"Y")*12),TODAY()),"One-time",IFERROR(VLOOKUP(A86,'VIP Signups'!$A$5:$B$204,2,FALSE),D86),"Manual",TODAY(),TODAY())),0,IF(F86="",0,F86)))))</x:f>
      </x:c>
      <x:c r="H86" s="19" t="str">
        <x:f>IF(A86="","",SWITCH(C86,"Daily",TODAY()+1,"Weekly",IFERROR(VLOOKUP(A86,'VIP Signups'!$A$5:$B$204,2,FALSE)+CEILING((TODAY()-VLOOKUP(A86,'VIP Signups'!$A$5:$B$204,2,FALSE)+1)/7,1)*7,D86+7),"Monthly",IFERROR(EDATE(VLOOKUP(A86,'VIP Signups'!$A$5:$B$204,2,FALSE),DATEDIF(VLOOKUP(A86,'VIP Signups'!$A$5:$B$204,2,FALSE),TODAY(),"M")+1),EDATE(D86,1)),"Quarterly",IFERROR(EDATE(VLOOKUP(A86,'VIP Signups'!$A$5:$B$204,2,FALSE),(INT(DATEDIF(VLOOKUP(A86,'VIP Signups'!$A$5:$B$204,2,FALSE),TODAY(),"M")/3)+1)*3),EDATE(D86,3)),"Yearly",IFERROR(EDATE(VLOOKUP(A86,'VIP Signups'!$A$5:$B$204,2,FALSE),(DATEDIF(VLOOKUP(A86,'VIP Signups'!$A$5:$B$204,2,FALSE),TODAY(),"Y")+1)*12),EDATE(D86,12)),"One-time","Used","Manual","Manual",""))</x:f>
      </x:c>
      <x:c r="I86" s="18" t="str">
        <x:f>IF(A86="","",IF(G86="Manual","Manual",IF(G86&gt;0,"Yes","No")))</x:f>
      </x:c>
      <x:c r="J86" s="18" t="str">
        <x:f>IF(A86="","",B86&amp;": "&amp;IF(I86="Yes","Available ("&amp;G86&amp;"/"&amp;IF(E86="",1,E86)&amp;" left)",IF(I86="Manual","Manual check",IF(ISNUMBER(H86),"0/"&amp;IF(E86="",1,E86)&amp;" left; resets "&amp;TEXT(H86,"yyyy-mm-dd"),"Used"))))</x:f>
      </x:c>
      <x:c r="K86" s="18"/>
      <x:c r="L86" s="18" t="str">
        <x:v>Yes</x:v>
      </x:c>
      <x:c r="M86" s="18" t="str">
        <x:f>IF(A86="","",A86&amp;"|"&amp;B86)</x:f>
      </x:c>
      <x:c r="N86" s="18"/>
    </x:row>
    <x:row r="87">
      <x:c r="A87" s="18"/>
      <x:c r="B87" s="18"/>
      <x:c r="C87" s="18"/>
      <x:c r="D87" s="19"/>
      <x:c r="E87" s="20"/>
      <x:c r="F87" s="20"/>
      <x:c r="G87" s="20" t="str">
        <x:f>IF(A87="","",IF(C87="Manual","Manual",MAX(0,IF(E87="",1,E87)-IF(OR(D87="",D87&lt;SWITCH(C87,"Daily",TODAY(),"Weekly",IFERROR(VLOOKUP(A87,'VIP Signups'!$A$5:$B$204,2,FALSE)+INT((TODAY()-VLOOKUP(A87,'VIP Signups'!$A$5:$B$204,2,FALSE))/7)*7,TODAY()),"Monthly",IFERROR(EDATE(VLOOKUP(A87,'VIP Signups'!$A$5:$B$204,2,FALSE),DATEDIF(VLOOKUP(A87,'VIP Signups'!$A$5:$B$204,2,FALSE),TODAY(),"M")),TODAY()),"Quarterly",IFERROR(EDATE(VLOOKUP(A87,'VIP Signups'!$A$5:$B$204,2,FALSE),INT(DATEDIF(VLOOKUP(A87,'VIP Signups'!$A$5:$B$204,2,FALSE),TODAY(),"M")/3)*3),TODAY()),"Yearly",IFERROR(EDATE(VLOOKUP(A87,'VIP Signups'!$A$5:$B$204,2,FALSE),DATEDIF(VLOOKUP(A87,'VIP Signups'!$A$5:$B$204,2,FALSE),TODAY(),"Y")*12),TODAY()),"One-time",IFERROR(VLOOKUP(A87,'VIP Signups'!$A$5:$B$204,2,FALSE),D87),"Manual",TODAY(),TODAY())),0,IF(F87="",0,F87)))))</x:f>
      </x:c>
      <x:c r="H87" s="19" t="str">
        <x:f>IF(A87="","",SWITCH(C87,"Daily",TODAY()+1,"Weekly",IFERROR(VLOOKUP(A87,'VIP Signups'!$A$5:$B$204,2,FALSE)+CEILING((TODAY()-VLOOKUP(A87,'VIP Signups'!$A$5:$B$204,2,FALSE)+1)/7,1)*7,D87+7),"Monthly",IFERROR(EDATE(VLOOKUP(A87,'VIP Signups'!$A$5:$B$204,2,FALSE),DATEDIF(VLOOKUP(A87,'VIP Signups'!$A$5:$B$204,2,FALSE),TODAY(),"M")+1),EDATE(D87,1)),"Quarterly",IFERROR(EDATE(VLOOKUP(A87,'VIP Signups'!$A$5:$B$204,2,FALSE),(INT(DATEDIF(VLOOKUP(A87,'VIP Signups'!$A$5:$B$204,2,FALSE),TODAY(),"M")/3)+1)*3),EDATE(D87,3)),"Yearly",IFERROR(EDATE(VLOOKUP(A87,'VIP Signups'!$A$5:$B$204,2,FALSE),(DATEDIF(VLOOKUP(A87,'VIP Signups'!$A$5:$B$204,2,FALSE),TODAY(),"Y")+1)*12),EDATE(D87,12)),"One-time","Used","Manual","Manual",""))</x:f>
      </x:c>
      <x:c r="I87" s="18" t="str">
        <x:f>IF(A87="","",IF(G87="Manual","Manual",IF(G87&gt;0,"Yes","No")))</x:f>
      </x:c>
      <x:c r="J87" s="18" t="str">
        <x:f>IF(A87="","",B87&amp;": "&amp;IF(I87="Yes","Available ("&amp;G87&amp;"/"&amp;IF(E87="",1,E87)&amp;" left)",IF(I87="Manual","Manual check",IF(ISNUMBER(H87),"0/"&amp;IF(E87="",1,E87)&amp;" left; resets "&amp;TEXT(H87,"yyyy-mm-dd"),"Used"))))</x:f>
      </x:c>
      <x:c r="K87" s="18"/>
      <x:c r="L87" s="18" t="str">
        <x:v>Yes</x:v>
      </x:c>
      <x:c r="M87" s="18" t="str">
        <x:f>IF(A87="","",A87&amp;"|"&amp;B87)</x:f>
      </x:c>
      <x:c r="N87" s="18"/>
    </x:row>
    <x:row r="88">
      <x:c r="A88" s="18"/>
      <x:c r="B88" s="18"/>
      <x:c r="C88" s="18"/>
      <x:c r="D88" s="19"/>
      <x:c r="E88" s="20"/>
      <x:c r="F88" s="20"/>
      <x:c r="G88" s="20" t="str">
        <x:f>IF(A88="","",IF(C88="Manual","Manual",MAX(0,IF(E88="",1,E88)-IF(OR(D88="",D88&lt;SWITCH(C88,"Daily",TODAY(),"Weekly",IFERROR(VLOOKUP(A88,'VIP Signups'!$A$5:$B$204,2,FALSE)+INT((TODAY()-VLOOKUP(A88,'VIP Signups'!$A$5:$B$204,2,FALSE))/7)*7,TODAY()),"Monthly",IFERROR(EDATE(VLOOKUP(A88,'VIP Signups'!$A$5:$B$204,2,FALSE),DATEDIF(VLOOKUP(A88,'VIP Signups'!$A$5:$B$204,2,FALSE),TODAY(),"M")),TODAY()),"Quarterly",IFERROR(EDATE(VLOOKUP(A88,'VIP Signups'!$A$5:$B$204,2,FALSE),INT(DATEDIF(VLOOKUP(A88,'VIP Signups'!$A$5:$B$204,2,FALSE),TODAY(),"M")/3)*3),TODAY()),"Yearly",IFERROR(EDATE(VLOOKUP(A88,'VIP Signups'!$A$5:$B$204,2,FALSE),DATEDIF(VLOOKUP(A88,'VIP Signups'!$A$5:$B$204,2,FALSE),TODAY(),"Y")*12),TODAY()),"One-time",IFERROR(VLOOKUP(A88,'VIP Signups'!$A$5:$B$204,2,FALSE),D88),"Manual",TODAY(),TODAY())),0,IF(F88="",0,F88)))))</x:f>
      </x:c>
      <x:c r="H88" s="19" t="str">
        <x:f>IF(A88="","",SWITCH(C88,"Daily",TODAY()+1,"Weekly",IFERROR(VLOOKUP(A88,'VIP Signups'!$A$5:$B$204,2,FALSE)+CEILING((TODAY()-VLOOKUP(A88,'VIP Signups'!$A$5:$B$204,2,FALSE)+1)/7,1)*7,D88+7),"Monthly",IFERROR(EDATE(VLOOKUP(A88,'VIP Signups'!$A$5:$B$204,2,FALSE),DATEDIF(VLOOKUP(A88,'VIP Signups'!$A$5:$B$204,2,FALSE),TODAY(),"M")+1),EDATE(D88,1)),"Quarterly",IFERROR(EDATE(VLOOKUP(A88,'VIP Signups'!$A$5:$B$204,2,FALSE),(INT(DATEDIF(VLOOKUP(A88,'VIP Signups'!$A$5:$B$204,2,FALSE),TODAY(),"M")/3)+1)*3),EDATE(D88,3)),"Yearly",IFERROR(EDATE(VLOOKUP(A88,'VIP Signups'!$A$5:$B$204,2,FALSE),(DATEDIF(VLOOKUP(A88,'VIP Signups'!$A$5:$B$204,2,FALSE),TODAY(),"Y")+1)*12),EDATE(D88,12)),"One-time","Used","Manual","Manual",""))</x:f>
      </x:c>
      <x:c r="I88" s="18" t="str">
        <x:f>IF(A88="","",IF(G88="Manual","Manual",IF(G88&gt;0,"Yes","No")))</x:f>
      </x:c>
      <x:c r="J88" s="18" t="str">
        <x:f>IF(A88="","",B88&amp;": "&amp;IF(I88="Yes","Available ("&amp;G88&amp;"/"&amp;IF(E88="",1,E88)&amp;" left)",IF(I88="Manual","Manual check",IF(ISNUMBER(H88),"0/"&amp;IF(E88="",1,E88)&amp;" left; resets "&amp;TEXT(H88,"yyyy-mm-dd"),"Used"))))</x:f>
      </x:c>
      <x:c r="K88" s="18"/>
      <x:c r="L88" s="18" t="str">
        <x:v>Yes</x:v>
      </x:c>
      <x:c r="M88" s="18" t="str">
        <x:f>IF(A88="","",A88&amp;"|"&amp;B88)</x:f>
      </x:c>
      <x:c r="N88" s="18"/>
    </x:row>
    <x:row r="89">
      <x:c r="A89" s="18"/>
      <x:c r="B89" s="18"/>
      <x:c r="C89" s="18"/>
      <x:c r="D89" s="19"/>
      <x:c r="E89" s="20"/>
      <x:c r="F89" s="20"/>
      <x:c r="G89" s="20" t="str">
        <x:f>IF(A89="","",IF(C89="Manual","Manual",MAX(0,IF(E89="",1,E89)-IF(OR(D89="",D89&lt;SWITCH(C89,"Daily",TODAY(),"Weekly",IFERROR(VLOOKUP(A89,'VIP Signups'!$A$5:$B$204,2,FALSE)+INT((TODAY()-VLOOKUP(A89,'VIP Signups'!$A$5:$B$204,2,FALSE))/7)*7,TODAY()),"Monthly",IFERROR(EDATE(VLOOKUP(A89,'VIP Signups'!$A$5:$B$204,2,FALSE),DATEDIF(VLOOKUP(A89,'VIP Signups'!$A$5:$B$204,2,FALSE),TODAY(),"M")),TODAY()),"Quarterly",IFERROR(EDATE(VLOOKUP(A89,'VIP Signups'!$A$5:$B$204,2,FALSE),INT(DATEDIF(VLOOKUP(A89,'VIP Signups'!$A$5:$B$204,2,FALSE),TODAY(),"M")/3)*3),TODAY()),"Yearly",IFERROR(EDATE(VLOOKUP(A89,'VIP Signups'!$A$5:$B$204,2,FALSE),DATEDIF(VLOOKUP(A89,'VIP Signups'!$A$5:$B$204,2,FALSE),TODAY(),"Y")*12),TODAY()),"One-time",IFERROR(VLOOKUP(A89,'VIP Signups'!$A$5:$B$204,2,FALSE),D89),"Manual",TODAY(),TODAY())),0,IF(F89="",0,F89)))))</x:f>
      </x:c>
      <x:c r="H89" s="19" t="str">
        <x:f>IF(A89="","",SWITCH(C89,"Daily",TODAY()+1,"Weekly",IFERROR(VLOOKUP(A89,'VIP Signups'!$A$5:$B$204,2,FALSE)+CEILING((TODAY()-VLOOKUP(A89,'VIP Signups'!$A$5:$B$204,2,FALSE)+1)/7,1)*7,D89+7),"Monthly",IFERROR(EDATE(VLOOKUP(A89,'VIP Signups'!$A$5:$B$204,2,FALSE),DATEDIF(VLOOKUP(A89,'VIP Signups'!$A$5:$B$204,2,FALSE),TODAY(),"M")+1),EDATE(D89,1)),"Quarterly",IFERROR(EDATE(VLOOKUP(A89,'VIP Signups'!$A$5:$B$204,2,FALSE),(INT(DATEDIF(VLOOKUP(A89,'VIP Signups'!$A$5:$B$204,2,FALSE),TODAY(),"M")/3)+1)*3),EDATE(D89,3)),"Yearly",IFERROR(EDATE(VLOOKUP(A89,'VIP Signups'!$A$5:$B$204,2,FALSE),(DATEDIF(VLOOKUP(A89,'VIP Signups'!$A$5:$B$204,2,FALSE),TODAY(),"Y")+1)*12),EDATE(D89,12)),"One-time","Used","Manual","Manual",""))</x:f>
      </x:c>
      <x:c r="I89" s="18" t="str">
        <x:f>IF(A89="","",IF(G89="Manual","Manual",IF(G89&gt;0,"Yes","No")))</x:f>
      </x:c>
      <x:c r="J89" s="18" t="str">
        <x:f>IF(A89="","",B89&amp;": "&amp;IF(I89="Yes","Available ("&amp;G89&amp;"/"&amp;IF(E89="",1,E89)&amp;" left)",IF(I89="Manual","Manual check",IF(ISNUMBER(H89),"0/"&amp;IF(E89="",1,E89)&amp;" left; resets "&amp;TEXT(H89,"yyyy-mm-dd"),"Used"))))</x:f>
      </x:c>
      <x:c r="K89" s="18"/>
      <x:c r="L89" s="18" t="str">
        <x:v>Yes</x:v>
      </x:c>
      <x:c r="M89" s="18" t="str">
        <x:f>IF(A89="","",A89&amp;"|"&amp;B89)</x:f>
      </x:c>
      <x:c r="N89" s="18"/>
    </x:row>
    <x:row r="90">
      <x:c r="A90" s="18"/>
      <x:c r="B90" s="18"/>
      <x:c r="C90" s="18"/>
      <x:c r="D90" s="19"/>
      <x:c r="E90" s="20"/>
      <x:c r="F90" s="20"/>
      <x:c r="G90" s="20" t="str">
        <x:f>IF(A90="","",IF(C90="Manual","Manual",MAX(0,IF(E90="",1,E90)-IF(OR(D90="",D90&lt;SWITCH(C90,"Daily",TODAY(),"Weekly",IFERROR(VLOOKUP(A90,'VIP Signups'!$A$5:$B$204,2,FALSE)+INT((TODAY()-VLOOKUP(A90,'VIP Signups'!$A$5:$B$204,2,FALSE))/7)*7,TODAY()),"Monthly",IFERROR(EDATE(VLOOKUP(A90,'VIP Signups'!$A$5:$B$204,2,FALSE),DATEDIF(VLOOKUP(A90,'VIP Signups'!$A$5:$B$204,2,FALSE),TODAY(),"M")),TODAY()),"Quarterly",IFERROR(EDATE(VLOOKUP(A90,'VIP Signups'!$A$5:$B$204,2,FALSE),INT(DATEDIF(VLOOKUP(A90,'VIP Signups'!$A$5:$B$204,2,FALSE),TODAY(),"M")/3)*3),TODAY()),"Yearly",IFERROR(EDATE(VLOOKUP(A90,'VIP Signups'!$A$5:$B$204,2,FALSE),DATEDIF(VLOOKUP(A90,'VIP Signups'!$A$5:$B$204,2,FALSE),TODAY(),"Y")*12),TODAY()),"One-time",IFERROR(VLOOKUP(A90,'VIP Signups'!$A$5:$B$204,2,FALSE),D90),"Manual",TODAY(),TODAY())),0,IF(F90="",0,F90)))))</x:f>
      </x:c>
      <x:c r="H90" s="19" t="str">
        <x:f>IF(A90="","",SWITCH(C90,"Daily",TODAY()+1,"Weekly",IFERROR(VLOOKUP(A90,'VIP Signups'!$A$5:$B$204,2,FALSE)+CEILING((TODAY()-VLOOKUP(A90,'VIP Signups'!$A$5:$B$204,2,FALSE)+1)/7,1)*7,D90+7),"Monthly",IFERROR(EDATE(VLOOKUP(A90,'VIP Signups'!$A$5:$B$204,2,FALSE),DATEDIF(VLOOKUP(A90,'VIP Signups'!$A$5:$B$204,2,FALSE),TODAY(),"M")+1),EDATE(D90,1)),"Quarterly",IFERROR(EDATE(VLOOKUP(A90,'VIP Signups'!$A$5:$B$204,2,FALSE),(INT(DATEDIF(VLOOKUP(A90,'VIP Signups'!$A$5:$B$204,2,FALSE),TODAY(),"M")/3)+1)*3),EDATE(D90,3)),"Yearly",IFERROR(EDATE(VLOOKUP(A90,'VIP Signups'!$A$5:$B$204,2,FALSE),(DATEDIF(VLOOKUP(A90,'VIP Signups'!$A$5:$B$204,2,FALSE),TODAY(),"Y")+1)*12),EDATE(D90,12)),"One-time","Used","Manual","Manual",""))</x:f>
      </x:c>
      <x:c r="I90" s="18" t="str">
        <x:f>IF(A90="","",IF(G90="Manual","Manual",IF(G90&gt;0,"Yes","No")))</x:f>
      </x:c>
      <x:c r="J90" s="18" t="str">
        <x:f>IF(A90="","",B90&amp;": "&amp;IF(I90="Yes","Available ("&amp;G90&amp;"/"&amp;IF(E90="",1,E90)&amp;" left)",IF(I90="Manual","Manual check",IF(ISNUMBER(H90),"0/"&amp;IF(E90="",1,E90)&amp;" left; resets "&amp;TEXT(H90,"yyyy-mm-dd"),"Used"))))</x:f>
      </x:c>
      <x:c r="K90" s="18"/>
      <x:c r="L90" s="18" t="str">
        <x:v>Yes</x:v>
      </x:c>
      <x:c r="M90" s="18" t="str">
        <x:f>IF(A90="","",A90&amp;"|"&amp;B90)</x:f>
      </x:c>
      <x:c r="N90" s="18"/>
    </x:row>
    <x:row r="91">
      <x:c r="A91" s="18"/>
      <x:c r="B91" s="18"/>
      <x:c r="C91" s="18"/>
      <x:c r="D91" s="19"/>
      <x:c r="E91" s="20"/>
      <x:c r="F91" s="20"/>
      <x:c r="G91" s="20" t="str">
        <x:f>IF(A91="","",IF(C91="Manual","Manual",MAX(0,IF(E91="",1,E91)-IF(OR(D91="",D91&lt;SWITCH(C91,"Daily",TODAY(),"Weekly",IFERROR(VLOOKUP(A91,'VIP Signups'!$A$5:$B$204,2,FALSE)+INT((TODAY()-VLOOKUP(A91,'VIP Signups'!$A$5:$B$204,2,FALSE))/7)*7,TODAY()),"Monthly",IFERROR(EDATE(VLOOKUP(A91,'VIP Signups'!$A$5:$B$204,2,FALSE),DATEDIF(VLOOKUP(A91,'VIP Signups'!$A$5:$B$204,2,FALSE),TODAY(),"M")),TODAY()),"Quarterly",IFERROR(EDATE(VLOOKUP(A91,'VIP Signups'!$A$5:$B$204,2,FALSE),INT(DATEDIF(VLOOKUP(A91,'VIP Signups'!$A$5:$B$204,2,FALSE),TODAY(),"M")/3)*3),TODAY()),"Yearly",IFERROR(EDATE(VLOOKUP(A91,'VIP Signups'!$A$5:$B$204,2,FALSE),DATEDIF(VLOOKUP(A91,'VIP Signups'!$A$5:$B$204,2,FALSE),TODAY(),"Y")*12),TODAY()),"One-time",IFERROR(VLOOKUP(A91,'VIP Signups'!$A$5:$B$204,2,FALSE),D91),"Manual",TODAY(),TODAY())),0,IF(F91="",0,F91)))))</x:f>
      </x:c>
      <x:c r="H91" s="19" t="str">
        <x:f>IF(A91="","",SWITCH(C91,"Daily",TODAY()+1,"Weekly",IFERROR(VLOOKUP(A91,'VIP Signups'!$A$5:$B$204,2,FALSE)+CEILING((TODAY()-VLOOKUP(A91,'VIP Signups'!$A$5:$B$204,2,FALSE)+1)/7,1)*7,D91+7),"Monthly",IFERROR(EDATE(VLOOKUP(A91,'VIP Signups'!$A$5:$B$204,2,FALSE),DATEDIF(VLOOKUP(A91,'VIP Signups'!$A$5:$B$204,2,FALSE),TODAY(),"M")+1),EDATE(D91,1)),"Quarterly",IFERROR(EDATE(VLOOKUP(A91,'VIP Signups'!$A$5:$B$204,2,FALSE),(INT(DATEDIF(VLOOKUP(A91,'VIP Signups'!$A$5:$B$204,2,FALSE),TODAY(),"M")/3)+1)*3),EDATE(D91,3)),"Yearly",IFERROR(EDATE(VLOOKUP(A91,'VIP Signups'!$A$5:$B$204,2,FALSE),(DATEDIF(VLOOKUP(A91,'VIP Signups'!$A$5:$B$204,2,FALSE),TODAY(),"Y")+1)*12),EDATE(D91,12)),"One-time","Used","Manual","Manual",""))</x:f>
      </x:c>
      <x:c r="I91" s="18" t="str">
        <x:f>IF(A91="","",IF(G91="Manual","Manual",IF(G91&gt;0,"Yes","No")))</x:f>
      </x:c>
      <x:c r="J91" s="18" t="str">
        <x:f>IF(A91="","",B91&amp;": "&amp;IF(I91="Yes","Available ("&amp;G91&amp;"/"&amp;IF(E91="",1,E91)&amp;" left)",IF(I91="Manual","Manual check",IF(ISNUMBER(H91),"0/"&amp;IF(E91="",1,E91)&amp;" left; resets "&amp;TEXT(H91,"yyyy-mm-dd"),"Used"))))</x:f>
      </x:c>
      <x:c r="K91" s="18"/>
      <x:c r="L91" s="18" t="str">
        <x:v>Yes</x:v>
      </x:c>
      <x:c r="M91" s="18" t="str">
        <x:f>IF(A91="","",A91&amp;"|"&amp;B91)</x:f>
      </x:c>
      <x:c r="N91" s="18"/>
    </x:row>
    <x:row r="92">
      <x:c r="A92" s="18"/>
      <x:c r="B92" s="18"/>
      <x:c r="C92" s="18"/>
      <x:c r="D92" s="19"/>
      <x:c r="E92" s="20"/>
      <x:c r="F92" s="20"/>
      <x:c r="G92" s="20" t="str">
        <x:f>IF(A92="","",IF(C92="Manual","Manual",MAX(0,IF(E92="",1,E92)-IF(OR(D92="",D92&lt;SWITCH(C92,"Daily",TODAY(),"Weekly",IFERROR(VLOOKUP(A92,'VIP Signups'!$A$5:$B$204,2,FALSE)+INT((TODAY()-VLOOKUP(A92,'VIP Signups'!$A$5:$B$204,2,FALSE))/7)*7,TODAY()),"Monthly",IFERROR(EDATE(VLOOKUP(A92,'VIP Signups'!$A$5:$B$204,2,FALSE),DATEDIF(VLOOKUP(A92,'VIP Signups'!$A$5:$B$204,2,FALSE),TODAY(),"M")),TODAY()),"Quarterly",IFERROR(EDATE(VLOOKUP(A92,'VIP Signups'!$A$5:$B$204,2,FALSE),INT(DATEDIF(VLOOKUP(A92,'VIP Signups'!$A$5:$B$204,2,FALSE),TODAY(),"M")/3)*3),TODAY()),"Yearly",IFERROR(EDATE(VLOOKUP(A92,'VIP Signups'!$A$5:$B$204,2,FALSE),DATEDIF(VLOOKUP(A92,'VIP Signups'!$A$5:$B$204,2,FALSE),TODAY(),"Y")*12),TODAY()),"One-time",IFERROR(VLOOKUP(A92,'VIP Signups'!$A$5:$B$204,2,FALSE),D92),"Manual",TODAY(),TODAY())),0,IF(F92="",0,F92)))))</x:f>
      </x:c>
      <x:c r="H92" s="19" t="str">
        <x:f>IF(A92="","",SWITCH(C92,"Daily",TODAY()+1,"Weekly",IFERROR(VLOOKUP(A92,'VIP Signups'!$A$5:$B$204,2,FALSE)+CEILING((TODAY()-VLOOKUP(A92,'VIP Signups'!$A$5:$B$204,2,FALSE)+1)/7,1)*7,D92+7),"Monthly",IFERROR(EDATE(VLOOKUP(A92,'VIP Signups'!$A$5:$B$204,2,FALSE),DATEDIF(VLOOKUP(A92,'VIP Signups'!$A$5:$B$204,2,FALSE),TODAY(),"M")+1),EDATE(D92,1)),"Quarterly",IFERROR(EDATE(VLOOKUP(A92,'VIP Signups'!$A$5:$B$204,2,FALSE),(INT(DATEDIF(VLOOKUP(A92,'VIP Signups'!$A$5:$B$204,2,FALSE),TODAY(),"M")/3)+1)*3),EDATE(D92,3)),"Yearly",IFERROR(EDATE(VLOOKUP(A92,'VIP Signups'!$A$5:$B$204,2,FALSE),(DATEDIF(VLOOKUP(A92,'VIP Signups'!$A$5:$B$204,2,FALSE),TODAY(),"Y")+1)*12),EDATE(D92,12)),"One-time","Used","Manual","Manual",""))</x:f>
      </x:c>
      <x:c r="I92" s="18" t="str">
        <x:f>IF(A92="","",IF(G92="Manual","Manual",IF(G92&gt;0,"Yes","No")))</x:f>
      </x:c>
      <x:c r="J92" s="18" t="str">
        <x:f>IF(A92="","",B92&amp;": "&amp;IF(I92="Yes","Available ("&amp;G92&amp;"/"&amp;IF(E92="",1,E92)&amp;" left)",IF(I92="Manual","Manual check",IF(ISNUMBER(H92),"0/"&amp;IF(E92="",1,E92)&amp;" left; resets "&amp;TEXT(H92,"yyyy-mm-dd"),"Used"))))</x:f>
      </x:c>
      <x:c r="K92" s="18"/>
      <x:c r="L92" s="18" t="str">
        <x:v>Yes</x:v>
      </x:c>
      <x:c r="M92" s="18" t="str">
        <x:f>IF(A92="","",A92&amp;"|"&amp;B92)</x:f>
      </x:c>
      <x:c r="N92" s="18"/>
    </x:row>
    <x:row r="93">
      <x:c r="A93" s="18"/>
      <x:c r="B93" s="18"/>
      <x:c r="C93" s="18"/>
      <x:c r="D93" s="19"/>
      <x:c r="E93" s="20"/>
      <x:c r="F93" s="20"/>
      <x:c r="G93" s="20" t="str">
        <x:f>IF(A93="","",IF(C93="Manual","Manual",MAX(0,IF(E93="",1,E93)-IF(OR(D93="",D93&lt;SWITCH(C93,"Daily",TODAY(),"Weekly",IFERROR(VLOOKUP(A93,'VIP Signups'!$A$5:$B$204,2,FALSE)+INT((TODAY()-VLOOKUP(A93,'VIP Signups'!$A$5:$B$204,2,FALSE))/7)*7,TODAY()),"Monthly",IFERROR(EDATE(VLOOKUP(A93,'VIP Signups'!$A$5:$B$204,2,FALSE),DATEDIF(VLOOKUP(A93,'VIP Signups'!$A$5:$B$204,2,FALSE),TODAY(),"M")),TODAY()),"Quarterly",IFERROR(EDATE(VLOOKUP(A93,'VIP Signups'!$A$5:$B$204,2,FALSE),INT(DATEDIF(VLOOKUP(A93,'VIP Signups'!$A$5:$B$204,2,FALSE),TODAY(),"M")/3)*3),TODAY()),"Yearly",IFERROR(EDATE(VLOOKUP(A93,'VIP Signups'!$A$5:$B$204,2,FALSE),DATEDIF(VLOOKUP(A93,'VIP Signups'!$A$5:$B$204,2,FALSE),TODAY(),"Y")*12),TODAY()),"One-time",IFERROR(VLOOKUP(A93,'VIP Signups'!$A$5:$B$204,2,FALSE),D93),"Manual",TODAY(),TODAY())),0,IF(F93="",0,F93)))))</x:f>
      </x:c>
      <x:c r="H93" s="19" t="str">
        <x:f>IF(A93="","",SWITCH(C93,"Daily",TODAY()+1,"Weekly",IFERROR(VLOOKUP(A93,'VIP Signups'!$A$5:$B$204,2,FALSE)+CEILING((TODAY()-VLOOKUP(A93,'VIP Signups'!$A$5:$B$204,2,FALSE)+1)/7,1)*7,D93+7),"Monthly",IFERROR(EDATE(VLOOKUP(A93,'VIP Signups'!$A$5:$B$204,2,FALSE),DATEDIF(VLOOKUP(A93,'VIP Signups'!$A$5:$B$204,2,FALSE),TODAY(),"M")+1),EDATE(D93,1)),"Quarterly",IFERROR(EDATE(VLOOKUP(A93,'VIP Signups'!$A$5:$B$204,2,FALSE),(INT(DATEDIF(VLOOKUP(A93,'VIP Signups'!$A$5:$B$204,2,FALSE),TODAY(),"M")/3)+1)*3),EDATE(D93,3)),"Yearly",IFERROR(EDATE(VLOOKUP(A93,'VIP Signups'!$A$5:$B$204,2,FALSE),(DATEDIF(VLOOKUP(A93,'VIP Signups'!$A$5:$B$204,2,FALSE),TODAY(),"Y")+1)*12),EDATE(D93,12)),"One-time","Used","Manual","Manual",""))</x:f>
      </x:c>
      <x:c r="I93" s="18" t="str">
        <x:f>IF(A93="","",IF(G93="Manual","Manual",IF(G93&gt;0,"Yes","No")))</x:f>
      </x:c>
      <x:c r="J93" s="18" t="str">
        <x:f>IF(A93="","",B93&amp;": "&amp;IF(I93="Yes","Available ("&amp;G93&amp;"/"&amp;IF(E93="",1,E93)&amp;" left)",IF(I93="Manual","Manual check",IF(ISNUMBER(H93),"0/"&amp;IF(E93="",1,E93)&amp;" left; resets "&amp;TEXT(H93,"yyyy-mm-dd"),"Used"))))</x:f>
      </x:c>
      <x:c r="K93" s="18"/>
      <x:c r="L93" s="18" t="str">
        <x:v>Yes</x:v>
      </x:c>
      <x:c r="M93" s="18" t="str">
        <x:f>IF(A93="","",A93&amp;"|"&amp;B93)</x:f>
      </x:c>
      <x:c r="N93" s="18"/>
    </x:row>
    <x:row r="94">
      <x:c r="A94" s="18"/>
      <x:c r="B94" s="18"/>
      <x:c r="C94" s="18"/>
      <x:c r="D94" s="19"/>
      <x:c r="E94" s="20"/>
      <x:c r="F94" s="20"/>
      <x:c r="G94" s="20" t="str">
        <x:f>IF(A94="","",IF(C94="Manual","Manual",MAX(0,IF(E94="",1,E94)-IF(OR(D94="",D94&lt;SWITCH(C94,"Daily",TODAY(),"Weekly",IFERROR(VLOOKUP(A94,'VIP Signups'!$A$5:$B$204,2,FALSE)+INT((TODAY()-VLOOKUP(A94,'VIP Signups'!$A$5:$B$204,2,FALSE))/7)*7,TODAY()),"Monthly",IFERROR(EDATE(VLOOKUP(A94,'VIP Signups'!$A$5:$B$204,2,FALSE),DATEDIF(VLOOKUP(A94,'VIP Signups'!$A$5:$B$204,2,FALSE),TODAY(),"M")),TODAY()),"Quarterly",IFERROR(EDATE(VLOOKUP(A94,'VIP Signups'!$A$5:$B$204,2,FALSE),INT(DATEDIF(VLOOKUP(A94,'VIP Signups'!$A$5:$B$204,2,FALSE),TODAY(),"M")/3)*3),TODAY()),"Yearly",IFERROR(EDATE(VLOOKUP(A94,'VIP Signups'!$A$5:$B$204,2,FALSE),DATEDIF(VLOOKUP(A94,'VIP Signups'!$A$5:$B$204,2,FALSE),TODAY(),"Y")*12),TODAY()),"One-time",IFERROR(VLOOKUP(A94,'VIP Signups'!$A$5:$B$204,2,FALSE),D94),"Manual",TODAY(),TODAY())),0,IF(F94="",0,F94)))))</x:f>
      </x:c>
      <x:c r="H94" s="19" t="str">
        <x:f>IF(A94="","",SWITCH(C94,"Daily",TODAY()+1,"Weekly",IFERROR(VLOOKUP(A94,'VIP Signups'!$A$5:$B$204,2,FALSE)+CEILING((TODAY()-VLOOKUP(A94,'VIP Signups'!$A$5:$B$204,2,FALSE)+1)/7,1)*7,D94+7),"Monthly",IFERROR(EDATE(VLOOKUP(A94,'VIP Signups'!$A$5:$B$204,2,FALSE),DATEDIF(VLOOKUP(A94,'VIP Signups'!$A$5:$B$204,2,FALSE),TODAY(),"M")+1),EDATE(D94,1)),"Quarterly",IFERROR(EDATE(VLOOKUP(A94,'VIP Signups'!$A$5:$B$204,2,FALSE),(INT(DATEDIF(VLOOKUP(A94,'VIP Signups'!$A$5:$B$204,2,FALSE),TODAY(),"M")/3)+1)*3),EDATE(D94,3)),"Yearly",IFERROR(EDATE(VLOOKUP(A94,'VIP Signups'!$A$5:$B$204,2,FALSE),(DATEDIF(VLOOKUP(A94,'VIP Signups'!$A$5:$B$204,2,FALSE),TODAY(),"Y")+1)*12),EDATE(D94,12)),"One-time","Used","Manual","Manual",""))</x:f>
      </x:c>
      <x:c r="I94" s="18" t="str">
        <x:f>IF(A94="","",IF(G94="Manual","Manual",IF(G94&gt;0,"Yes","No")))</x:f>
      </x:c>
      <x:c r="J94" s="18" t="str">
        <x:f>IF(A94="","",B94&amp;": "&amp;IF(I94="Yes","Available ("&amp;G94&amp;"/"&amp;IF(E94="",1,E94)&amp;" left)",IF(I94="Manual","Manual check",IF(ISNUMBER(H94),"0/"&amp;IF(E94="",1,E94)&amp;" left; resets "&amp;TEXT(H94,"yyyy-mm-dd"),"Used"))))</x:f>
      </x:c>
      <x:c r="K94" s="18"/>
      <x:c r="L94" s="18" t="str">
        <x:v>Yes</x:v>
      </x:c>
      <x:c r="M94" s="18" t="str">
        <x:f>IF(A94="","",A94&amp;"|"&amp;B94)</x:f>
      </x:c>
      <x:c r="N94" s="18"/>
    </x:row>
    <x:row r="95">
      <x:c r="A95" s="18"/>
      <x:c r="B95" s="18"/>
      <x:c r="C95" s="18"/>
      <x:c r="D95" s="19"/>
      <x:c r="E95" s="20"/>
      <x:c r="F95" s="20"/>
      <x:c r="G95" s="20" t="str">
        <x:f>IF(A95="","",IF(C95="Manual","Manual",MAX(0,IF(E95="",1,E95)-IF(OR(D95="",D95&lt;SWITCH(C95,"Daily",TODAY(),"Weekly",IFERROR(VLOOKUP(A95,'VIP Signups'!$A$5:$B$204,2,FALSE)+INT((TODAY()-VLOOKUP(A95,'VIP Signups'!$A$5:$B$204,2,FALSE))/7)*7,TODAY()),"Monthly",IFERROR(EDATE(VLOOKUP(A95,'VIP Signups'!$A$5:$B$204,2,FALSE),DATEDIF(VLOOKUP(A95,'VIP Signups'!$A$5:$B$204,2,FALSE),TODAY(),"M")),TODAY()),"Quarterly",IFERROR(EDATE(VLOOKUP(A95,'VIP Signups'!$A$5:$B$204,2,FALSE),INT(DATEDIF(VLOOKUP(A95,'VIP Signups'!$A$5:$B$204,2,FALSE),TODAY(),"M")/3)*3),TODAY()),"Yearly",IFERROR(EDATE(VLOOKUP(A95,'VIP Signups'!$A$5:$B$204,2,FALSE),DATEDIF(VLOOKUP(A95,'VIP Signups'!$A$5:$B$204,2,FALSE),TODAY(),"Y")*12),TODAY()),"One-time",IFERROR(VLOOKUP(A95,'VIP Signups'!$A$5:$B$204,2,FALSE),D95),"Manual",TODAY(),TODAY())),0,IF(F95="",0,F95)))))</x:f>
      </x:c>
      <x:c r="H95" s="19" t="str">
        <x:f>IF(A95="","",SWITCH(C95,"Daily",TODAY()+1,"Weekly",IFERROR(VLOOKUP(A95,'VIP Signups'!$A$5:$B$204,2,FALSE)+CEILING((TODAY()-VLOOKUP(A95,'VIP Signups'!$A$5:$B$204,2,FALSE)+1)/7,1)*7,D95+7),"Monthly",IFERROR(EDATE(VLOOKUP(A95,'VIP Signups'!$A$5:$B$204,2,FALSE),DATEDIF(VLOOKUP(A95,'VIP Signups'!$A$5:$B$204,2,FALSE),TODAY(),"M")+1),EDATE(D95,1)),"Quarterly",IFERROR(EDATE(VLOOKUP(A95,'VIP Signups'!$A$5:$B$204,2,FALSE),(INT(DATEDIF(VLOOKUP(A95,'VIP Signups'!$A$5:$B$204,2,FALSE),TODAY(),"M")/3)+1)*3),EDATE(D95,3)),"Yearly",IFERROR(EDATE(VLOOKUP(A95,'VIP Signups'!$A$5:$B$204,2,FALSE),(DATEDIF(VLOOKUP(A95,'VIP Signups'!$A$5:$B$204,2,FALSE),TODAY(),"Y")+1)*12),EDATE(D95,12)),"One-time","Used","Manual","Manual",""))</x:f>
      </x:c>
      <x:c r="I95" s="18" t="str">
        <x:f>IF(A95="","",IF(G95="Manual","Manual",IF(G95&gt;0,"Yes","No")))</x:f>
      </x:c>
      <x:c r="J95" s="18" t="str">
        <x:f>IF(A95="","",B95&amp;": "&amp;IF(I95="Yes","Available ("&amp;G95&amp;"/"&amp;IF(E95="",1,E95)&amp;" left)",IF(I95="Manual","Manual check",IF(ISNUMBER(H95),"0/"&amp;IF(E95="",1,E95)&amp;" left; resets "&amp;TEXT(H95,"yyyy-mm-dd"),"Used"))))</x:f>
      </x:c>
      <x:c r="K95" s="18"/>
      <x:c r="L95" s="18" t="str">
        <x:v>Yes</x:v>
      </x:c>
      <x:c r="M95" s="18" t="str">
        <x:f>IF(A95="","",A95&amp;"|"&amp;B95)</x:f>
      </x:c>
      <x:c r="N95" s="18"/>
    </x:row>
    <x:row r="96">
      <x:c r="A96" s="18"/>
      <x:c r="B96" s="18"/>
      <x:c r="C96" s="18"/>
      <x:c r="D96" s="19"/>
      <x:c r="E96" s="20"/>
      <x:c r="F96" s="20"/>
      <x:c r="G96" s="20" t="str">
        <x:f>IF(A96="","",IF(C96="Manual","Manual",MAX(0,IF(E96="",1,E96)-IF(OR(D96="",D96&lt;SWITCH(C96,"Daily",TODAY(),"Weekly",IFERROR(VLOOKUP(A96,'VIP Signups'!$A$5:$B$204,2,FALSE)+INT((TODAY()-VLOOKUP(A96,'VIP Signups'!$A$5:$B$204,2,FALSE))/7)*7,TODAY()),"Monthly",IFERROR(EDATE(VLOOKUP(A96,'VIP Signups'!$A$5:$B$204,2,FALSE),DATEDIF(VLOOKUP(A96,'VIP Signups'!$A$5:$B$204,2,FALSE),TODAY(),"M")),TODAY()),"Quarterly",IFERROR(EDATE(VLOOKUP(A96,'VIP Signups'!$A$5:$B$204,2,FALSE),INT(DATEDIF(VLOOKUP(A96,'VIP Signups'!$A$5:$B$204,2,FALSE),TODAY(),"M")/3)*3),TODAY()),"Yearly",IFERROR(EDATE(VLOOKUP(A96,'VIP Signups'!$A$5:$B$204,2,FALSE),DATEDIF(VLOOKUP(A96,'VIP Signups'!$A$5:$B$204,2,FALSE),TODAY(),"Y")*12),TODAY()),"One-time",IFERROR(VLOOKUP(A96,'VIP Signups'!$A$5:$B$204,2,FALSE),D96),"Manual",TODAY(),TODAY())),0,IF(F96="",0,F96)))))</x:f>
      </x:c>
      <x:c r="H96" s="19" t="str">
        <x:f>IF(A96="","",SWITCH(C96,"Daily",TODAY()+1,"Weekly",IFERROR(VLOOKUP(A96,'VIP Signups'!$A$5:$B$204,2,FALSE)+CEILING((TODAY()-VLOOKUP(A96,'VIP Signups'!$A$5:$B$204,2,FALSE)+1)/7,1)*7,D96+7),"Monthly",IFERROR(EDATE(VLOOKUP(A96,'VIP Signups'!$A$5:$B$204,2,FALSE),DATEDIF(VLOOKUP(A96,'VIP Signups'!$A$5:$B$204,2,FALSE),TODAY(),"M")+1),EDATE(D96,1)),"Quarterly",IFERROR(EDATE(VLOOKUP(A96,'VIP Signups'!$A$5:$B$204,2,FALSE),(INT(DATEDIF(VLOOKUP(A96,'VIP Signups'!$A$5:$B$204,2,FALSE),TODAY(),"M")/3)+1)*3),EDATE(D96,3)),"Yearly",IFERROR(EDATE(VLOOKUP(A96,'VIP Signups'!$A$5:$B$204,2,FALSE),(DATEDIF(VLOOKUP(A96,'VIP Signups'!$A$5:$B$204,2,FALSE),TODAY(),"Y")+1)*12),EDATE(D96,12)),"One-time","Used","Manual","Manual",""))</x:f>
      </x:c>
      <x:c r="I96" s="18" t="str">
        <x:f>IF(A96="","",IF(G96="Manual","Manual",IF(G96&gt;0,"Yes","No")))</x:f>
      </x:c>
      <x:c r="J96" s="18" t="str">
        <x:f>IF(A96="","",B96&amp;": "&amp;IF(I96="Yes","Available ("&amp;G96&amp;"/"&amp;IF(E96="",1,E96)&amp;" left)",IF(I96="Manual","Manual check",IF(ISNUMBER(H96),"0/"&amp;IF(E96="",1,E96)&amp;" left; resets "&amp;TEXT(H96,"yyyy-mm-dd"),"Used"))))</x:f>
      </x:c>
      <x:c r="K96" s="18"/>
      <x:c r="L96" s="18" t="str">
        <x:v>Yes</x:v>
      </x:c>
      <x:c r="M96" s="18" t="str">
        <x:f>IF(A96="","",A96&amp;"|"&amp;B96)</x:f>
      </x:c>
      <x:c r="N96" s="18"/>
    </x:row>
    <x:row r="97">
      <x:c r="A97" s="18"/>
      <x:c r="B97" s="18"/>
      <x:c r="C97" s="18"/>
      <x:c r="D97" s="19"/>
      <x:c r="E97" s="20"/>
      <x:c r="F97" s="20"/>
      <x:c r="G97" s="20" t="str">
        <x:f>IF(A97="","",IF(C97="Manual","Manual",MAX(0,IF(E97="",1,E97)-IF(OR(D97="",D97&lt;SWITCH(C97,"Daily",TODAY(),"Weekly",IFERROR(VLOOKUP(A97,'VIP Signups'!$A$5:$B$204,2,FALSE)+INT((TODAY()-VLOOKUP(A97,'VIP Signups'!$A$5:$B$204,2,FALSE))/7)*7,TODAY()),"Monthly",IFERROR(EDATE(VLOOKUP(A97,'VIP Signups'!$A$5:$B$204,2,FALSE),DATEDIF(VLOOKUP(A97,'VIP Signups'!$A$5:$B$204,2,FALSE),TODAY(),"M")),TODAY()),"Quarterly",IFERROR(EDATE(VLOOKUP(A97,'VIP Signups'!$A$5:$B$204,2,FALSE),INT(DATEDIF(VLOOKUP(A97,'VIP Signups'!$A$5:$B$204,2,FALSE),TODAY(),"M")/3)*3),TODAY()),"Yearly",IFERROR(EDATE(VLOOKUP(A97,'VIP Signups'!$A$5:$B$204,2,FALSE),DATEDIF(VLOOKUP(A97,'VIP Signups'!$A$5:$B$204,2,FALSE),TODAY(),"Y")*12),TODAY()),"One-time",IFERROR(VLOOKUP(A97,'VIP Signups'!$A$5:$B$204,2,FALSE),D97),"Manual",TODAY(),TODAY())),0,IF(F97="",0,F97)))))</x:f>
      </x:c>
      <x:c r="H97" s="19" t="str">
        <x:f>IF(A97="","",SWITCH(C97,"Daily",TODAY()+1,"Weekly",IFERROR(VLOOKUP(A97,'VIP Signups'!$A$5:$B$204,2,FALSE)+CEILING((TODAY()-VLOOKUP(A97,'VIP Signups'!$A$5:$B$204,2,FALSE)+1)/7,1)*7,D97+7),"Monthly",IFERROR(EDATE(VLOOKUP(A97,'VIP Signups'!$A$5:$B$204,2,FALSE),DATEDIF(VLOOKUP(A97,'VIP Signups'!$A$5:$B$204,2,FALSE),TODAY(),"M")+1),EDATE(D97,1)),"Quarterly",IFERROR(EDATE(VLOOKUP(A97,'VIP Signups'!$A$5:$B$204,2,FALSE),(INT(DATEDIF(VLOOKUP(A97,'VIP Signups'!$A$5:$B$204,2,FALSE),TODAY(),"M")/3)+1)*3),EDATE(D97,3)),"Yearly",IFERROR(EDATE(VLOOKUP(A97,'VIP Signups'!$A$5:$B$204,2,FALSE),(DATEDIF(VLOOKUP(A97,'VIP Signups'!$A$5:$B$204,2,FALSE),TODAY(),"Y")+1)*12),EDATE(D97,12)),"One-time","Used","Manual","Manual",""))</x:f>
      </x:c>
      <x:c r="I97" s="18" t="str">
        <x:f>IF(A97="","",IF(G97="Manual","Manual",IF(G97&gt;0,"Yes","No")))</x:f>
      </x:c>
      <x:c r="J97" s="18" t="str">
        <x:f>IF(A97="","",B97&amp;": "&amp;IF(I97="Yes","Available ("&amp;G97&amp;"/"&amp;IF(E97="",1,E97)&amp;" left)",IF(I97="Manual","Manual check",IF(ISNUMBER(H97),"0/"&amp;IF(E97="",1,E97)&amp;" left; resets "&amp;TEXT(H97,"yyyy-mm-dd"),"Used"))))</x:f>
      </x:c>
      <x:c r="K97" s="18"/>
      <x:c r="L97" s="18" t="str">
        <x:v>Yes</x:v>
      </x:c>
      <x:c r="M97" s="18" t="str">
        <x:f>IF(A97="","",A97&amp;"|"&amp;B97)</x:f>
      </x:c>
      <x:c r="N97" s="18"/>
    </x:row>
    <x:row r="98">
      <x:c r="A98" s="18"/>
      <x:c r="B98" s="18"/>
      <x:c r="C98" s="18"/>
      <x:c r="D98" s="19"/>
      <x:c r="E98" s="20"/>
      <x:c r="F98" s="20"/>
      <x:c r="G98" s="20" t="str">
        <x:f>IF(A98="","",IF(C98="Manual","Manual",MAX(0,IF(E98="",1,E98)-IF(OR(D98="",D98&lt;SWITCH(C98,"Daily",TODAY(),"Weekly",IFERROR(VLOOKUP(A98,'VIP Signups'!$A$5:$B$204,2,FALSE)+INT((TODAY()-VLOOKUP(A98,'VIP Signups'!$A$5:$B$204,2,FALSE))/7)*7,TODAY()),"Monthly",IFERROR(EDATE(VLOOKUP(A98,'VIP Signups'!$A$5:$B$204,2,FALSE),DATEDIF(VLOOKUP(A98,'VIP Signups'!$A$5:$B$204,2,FALSE),TODAY(),"M")),TODAY()),"Quarterly",IFERROR(EDATE(VLOOKUP(A98,'VIP Signups'!$A$5:$B$204,2,FALSE),INT(DATEDIF(VLOOKUP(A98,'VIP Signups'!$A$5:$B$204,2,FALSE),TODAY(),"M")/3)*3),TODAY()),"Yearly",IFERROR(EDATE(VLOOKUP(A98,'VIP Signups'!$A$5:$B$204,2,FALSE),DATEDIF(VLOOKUP(A98,'VIP Signups'!$A$5:$B$204,2,FALSE),TODAY(),"Y")*12),TODAY()),"One-time",IFERROR(VLOOKUP(A98,'VIP Signups'!$A$5:$B$204,2,FALSE),D98),"Manual",TODAY(),TODAY())),0,IF(F98="",0,F98)))))</x:f>
      </x:c>
      <x:c r="H98" s="19" t="str">
        <x:f>IF(A98="","",SWITCH(C98,"Daily",TODAY()+1,"Weekly",IFERROR(VLOOKUP(A98,'VIP Signups'!$A$5:$B$204,2,FALSE)+CEILING((TODAY()-VLOOKUP(A98,'VIP Signups'!$A$5:$B$204,2,FALSE)+1)/7,1)*7,D98+7),"Monthly",IFERROR(EDATE(VLOOKUP(A98,'VIP Signups'!$A$5:$B$204,2,FALSE),DATEDIF(VLOOKUP(A98,'VIP Signups'!$A$5:$B$204,2,FALSE),TODAY(),"M")+1),EDATE(D98,1)),"Quarterly",IFERROR(EDATE(VLOOKUP(A98,'VIP Signups'!$A$5:$B$204,2,FALSE),(INT(DATEDIF(VLOOKUP(A98,'VIP Signups'!$A$5:$B$204,2,FALSE),TODAY(),"M")/3)+1)*3),EDATE(D98,3)),"Yearly",IFERROR(EDATE(VLOOKUP(A98,'VIP Signups'!$A$5:$B$204,2,FALSE),(DATEDIF(VLOOKUP(A98,'VIP Signups'!$A$5:$B$204,2,FALSE),TODAY(),"Y")+1)*12),EDATE(D98,12)),"One-time","Used","Manual","Manual",""))</x:f>
      </x:c>
      <x:c r="I98" s="18" t="str">
        <x:f>IF(A98="","",IF(G98="Manual","Manual",IF(G98&gt;0,"Yes","No")))</x:f>
      </x:c>
      <x:c r="J98" s="18" t="str">
        <x:f>IF(A98="","",B98&amp;": "&amp;IF(I98="Yes","Available ("&amp;G98&amp;"/"&amp;IF(E98="",1,E98)&amp;" left)",IF(I98="Manual","Manual check",IF(ISNUMBER(H98),"0/"&amp;IF(E98="",1,E98)&amp;" left; resets "&amp;TEXT(H98,"yyyy-mm-dd"),"Used"))))</x:f>
      </x:c>
      <x:c r="K98" s="18"/>
      <x:c r="L98" s="18" t="str">
        <x:v>Yes</x:v>
      </x:c>
      <x:c r="M98" s="18" t="str">
        <x:f>IF(A98="","",A98&amp;"|"&amp;B98)</x:f>
      </x:c>
      <x:c r="N98" s="18"/>
    </x:row>
    <x:row r="99">
      <x:c r="A99" s="18"/>
      <x:c r="B99" s="18"/>
      <x:c r="C99" s="18"/>
      <x:c r="D99" s="19"/>
      <x:c r="E99" s="20"/>
      <x:c r="F99" s="20"/>
      <x:c r="G99" s="20" t="str">
        <x:f>IF(A99="","",IF(C99="Manual","Manual",MAX(0,IF(E99="",1,E99)-IF(OR(D99="",D99&lt;SWITCH(C99,"Daily",TODAY(),"Weekly",IFERROR(VLOOKUP(A99,'VIP Signups'!$A$5:$B$204,2,FALSE)+INT((TODAY()-VLOOKUP(A99,'VIP Signups'!$A$5:$B$204,2,FALSE))/7)*7,TODAY()),"Monthly",IFERROR(EDATE(VLOOKUP(A99,'VIP Signups'!$A$5:$B$204,2,FALSE),DATEDIF(VLOOKUP(A99,'VIP Signups'!$A$5:$B$204,2,FALSE),TODAY(),"M")),TODAY()),"Quarterly",IFERROR(EDATE(VLOOKUP(A99,'VIP Signups'!$A$5:$B$204,2,FALSE),INT(DATEDIF(VLOOKUP(A99,'VIP Signups'!$A$5:$B$204,2,FALSE),TODAY(),"M")/3)*3),TODAY()),"Yearly",IFERROR(EDATE(VLOOKUP(A99,'VIP Signups'!$A$5:$B$204,2,FALSE),DATEDIF(VLOOKUP(A99,'VIP Signups'!$A$5:$B$204,2,FALSE),TODAY(),"Y")*12),TODAY()),"One-time",IFERROR(VLOOKUP(A99,'VIP Signups'!$A$5:$B$204,2,FALSE),D99),"Manual",TODAY(),TODAY())),0,IF(F99="",0,F99)))))</x:f>
      </x:c>
      <x:c r="H99" s="19" t="str">
        <x:f>IF(A99="","",SWITCH(C99,"Daily",TODAY()+1,"Weekly",IFERROR(VLOOKUP(A99,'VIP Signups'!$A$5:$B$204,2,FALSE)+CEILING((TODAY()-VLOOKUP(A99,'VIP Signups'!$A$5:$B$204,2,FALSE)+1)/7,1)*7,D99+7),"Monthly",IFERROR(EDATE(VLOOKUP(A99,'VIP Signups'!$A$5:$B$204,2,FALSE),DATEDIF(VLOOKUP(A99,'VIP Signups'!$A$5:$B$204,2,FALSE),TODAY(),"M")+1),EDATE(D99,1)),"Quarterly",IFERROR(EDATE(VLOOKUP(A99,'VIP Signups'!$A$5:$B$204,2,FALSE),(INT(DATEDIF(VLOOKUP(A99,'VIP Signups'!$A$5:$B$204,2,FALSE),TODAY(),"M")/3)+1)*3),EDATE(D99,3)),"Yearly",IFERROR(EDATE(VLOOKUP(A99,'VIP Signups'!$A$5:$B$204,2,FALSE),(DATEDIF(VLOOKUP(A99,'VIP Signups'!$A$5:$B$204,2,FALSE),TODAY(),"Y")+1)*12),EDATE(D99,12)),"One-time","Used","Manual","Manual",""))</x:f>
      </x:c>
      <x:c r="I99" s="18" t="str">
        <x:f>IF(A99="","",IF(G99="Manual","Manual",IF(G99&gt;0,"Yes","No")))</x:f>
      </x:c>
      <x:c r="J99" s="18" t="str">
        <x:f>IF(A99="","",B99&amp;": "&amp;IF(I99="Yes","Available ("&amp;G99&amp;"/"&amp;IF(E99="",1,E99)&amp;" left)",IF(I99="Manual","Manual check",IF(ISNUMBER(H99),"0/"&amp;IF(E99="",1,E99)&amp;" left; resets "&amp;TEXT(H99,"yyyy-mm-dd"),"Used"))))</x:f>
      </x:c>
      <x:c r="K99" s="18"/>
      <x:c r="L99" s="18" t="str">
        <x:v>Yes</x:v>
      </x:c>
      <x:c r="M99" s="18" t="str">
        <x:f>IF(A99="","",A99&amp;"|"&amp;B99)</x:f>
      </x:c>
      <x:c r="N99" s="18"/>
    </x:row>
    <x:row r="100">
      <x:c r="A100" s="18"/>
      <x:c r="B100" s="18"/>
      <x:c r="C100" s="18"/>
      <x:c r="D100" s="19"/>
      <x:c r="E100" s="20"/>
      <x:c r="F100" s="20"/>
      <x:c r="G100" s="20" t="str">
        <x:f>IF(A100="","",IF(C100="Manual","Manual",MAX(0,IF(E100="",1,E100)-IF(OR(D100="",D100&lt;SWITCH(C100,"Daily",TODAY(),"Weekly",IFERROR(VLOOKUP(A100,'VIP Signups'!$A$5:$B$204,2,FALSE)+INT((TODAY()-VLOOKUP(A100,'VIP Signups'!$A$5:$B$204,2,FALSE))/7)*7,TODAY()),"Monthly",IFERROR(EDATE(VLOOKUP(A100,'VIP Signups'!$A$5:$B$204,2,FALSE),DATEDIF(VLOOKUP(A100,'VIP Signups'!$A$5:$B$204,2,FALSE),TODAY(),"M")),TODAY()),"Quarterly",IFERROR(EDATE(VLOOKUP(A100,'VIP Signups'!$A$5:$B$204,2,FALSE),INT(DATEDIF(VLOOKUP(A100,'VIP Signups'!$A$5:$B$204,2,FALSE),TODAY(),"M")/3)*3),TODAY()),"Yearly",IFERROR(EDATE(VLOOKUP(A100,'VIP Signups'!$A$5:$B$204,2,FALSE),DATEDIF(VLOOKUP(A100,'VIP Signups'!$A$5:$B$204,2,FALSE),TODAY(),"Y")*12),TODAY()),"One-time",IFERROR(VLOOKUP(A100,'VIP Signups'!$A$5:$B$204,2,FALSE),D100),"Manual",TODAY(),TODAY())),0,IF(F100="",0,F100)))))</x:f>
      </x:c>
      <x:c r="H100" s="19" t="str">
        <x:f>IF(A100="","",SWITCH(C100,"Daily",TODAY()+1,"Weekly",IFERROR(VLOOKUP(A100,'VIP Signups'!$A$5:$B$204,2,FALSE)+CEILING((TODAY()-VLOOKUP(A100,'VIP Signups'!$A$5:$B$204,2,FALSE)+1)/7,1)*7,D100+7),"Monthly",IFERROR(EDATE(VLOOKUP(A100,'VIP Signups'!$A$5:$B$204,2,FALSE),DATEDIF(VLOOKUP(A100,'VIP Signups'!$A$5:$B$204,2,FALSE),TODAY(),"M")+1),EDATE(D100,1)),"Quarterly",IFERROR(EDATE(VLOOKUP(A100,'VIP Signups'!$A$5:$B$204,2,FALSE),(INT(DATEDIF(VLOOKUP(A100,'VIP Signups'!$A$5:$B$204,2,FALSE),TODAY(),"M")/3)+1)*3),EDATE(D100,3)),"Yearly",IFERROR(EDATE(VLOOKUP(A100,'VIP Signups'!$A$5:$B$204,2,FALSE),(DATEDIF(VLOOKUP(A100,'VIP Signups'!$A$5:$B$204,2,FALSE),TODAY(),"Y")+1)*12),EDATE(D100,12)),"One-time","Used","Manual","Manual",""))</x:f>
      </x:c>
      <x:c r="I100" s="18" t="str">
        <x:f>IF(A100="","",IF(G100="Manual","Manual",IF(G100&gt;0,"Yes","No")))</x:f>
      </x:c>
      <x:c r="J100" s="18" t="str">
        <x:f>IF(A100="","",B100&amp;": "&amp;IF(I100="Yes","Available ("&amp;G100&amp;"/"&amp;IF(E100="",1,E100)&amp;" left)",IF(I100="Manual","Manual check",IF(ISNUMBER(H100),"0/"&amp;IF(E100="",1,E100)&amp;" left; resets "&amp;TEXT(H100,"yyyy-mm-dd"),"Used"))))</x:f>
      </x:c>
      <x:c r="K100" s="18"/>
      <x:c r="L100" s="18" t="str">
        <x:v>Yes</x:v>
      </x:c>
      <x:c r="M100" s="18" t="str">
        <x:f>IF(A100="","",A100&amp;"|"&amp;B100)</x:f>
      </x:c>
      <x:c r="N100" s="18"/>
    </x:row>
    <x:row r="101">
      <x:c r="A101" s="18"/>
      <x:c r="B101" s="18"/>
      <x:c r="C101" s="18"/>
      <x:c r="D101" s="19"/>
      <x:c r="E101" s="20"/>
      <x:c r="F101" s="20"/>
      <x:c r="G101" s="20" t="str">
        <x:f>IF(A101="","",IF(C101="Manual","Manual",MAX(0,IF(E101="",1,E101)-IF(OR(D101="",D101&lt;SWITCH(C101,"Daily",TODAY(),"Weekly",IFERROR(VLOOKUP(A101,'VIP Signups'!$A$5:$B$204,2,FALSE)+INT((TODAY()-VLOOKUP(A101,'VIP Signups'!$A$5:$B$204,2,FALSE))/7)*7,TODAY()),"Monthly",IFERROR(EDATE(VLOOKUP(A101,'VIP Signups'!$A$5:$B$204,2,FALSE),DATEDIF(VLOOKUP(A101,'VIP Signups'!$A$5:$B$204,2,FALSE),TODAY(),"M")),TODAY()),"Quarterly",IFERROR(EDATE(VLOOKUP(A101,'VIP Signups'!$A$5:$B$204,2,FALSE),INT(DATEDIF(VLOOKUP(A101,'VIP Signups'!$A$5:$B$204,2,FALSE),TODAY(),"M")/3)*3),TODAY()),"Yearly",IFERROR(EDATE(VLOOKUP(A101,'VIP Signups'!$A$5:$B$204,2,FALSE),DATEDIF(VLOOKUP(A101,'VIP Signups'!$A$5:$B$204,2,FALSE),TODAY(),"Y")*12),TODAY()),"One-time",IFERROR(VLOOKUP(A101,'VIP Signups'!$A$5:$B$204,2,FALSE),D101),"Manual",TODAY(),TODAY())),0,IF(F101="",0,F101)))))</x:f>
      </x:c>
      <x:c r="H101" s="19" t="str">
        <x:f>IF(A101="","",SWITCH(C101,"Daily",TODAY()+1,"Weekly",IFERROR(VLOOKUP(A101,'VIP Signups'!$A$5:$B$204,2,FALSE)+CEILING((TODAY()-VLOOKUP(A101,'VIP Signups'!$A$5:$B$204,2,FALSE)+1)/7,1)*7,D101+7),"Monthly",IFERROR(EDATE(VLOOKUP(A101,'VIP Signups'!$A$5:$B$204,2,FALSE),DATEDIF(VLOOKUP(A101,'VIP Signups'!$A$5:$B$204,2,FALSE),TODAY(),"M")+1),EDATE(D101,1)),"Quarterly",IFERROR(EDATE(VLOOKUP(A101,'VIP Signups'!$A$5:$B$204,2,FALSE),(INT(DATEDIF(VLOOKUP(A101,'VIP Signups'!$A$5:$B$204,2,FALSE),TODAY(),"M")/3)+1)*3),EDATE(D101,3)),"Yearly",IFERROR(EDATE(VLOOKUP(A101,'VIP Signups'!$A$5:$B$204,2,FALSE),(DATEDIF(VLOOKUP(A101,'VIP Signups'!$A$5:$B$204,2,FALSE),TODAY(),"Y")+1)*12),EDATE(D101,12)),"One-time","Used","Manual","Manual",""))</x:f>
      </x:c>
      <x:c r="I101" s="18" t="str">
        <x:f>IF(A101="","",IF(G101="Manual","Manual",IF(G101&gt;0,"Yes","No")))</x:f>
      </x:c>
      <x:c r="J101" s="18" t="str">
        <x:f>IF(A101="","",B101&amp;": "&amp;IF(I101="Yes","Available ("&amp;G101&amp;"/"&amp;IF(E101="",1,E101)&amp;" left)",IF(I101="Manual","Manual check",IF(ISNUMBER(H101),"0/"&amp;IF(E101="",1,E101)&amp;" left; resets "&amp;TEXT(H101,"yyyy-mm-dd"),"Used"))))</x:f>
      </x:c>
      <x:c r="K101" s="18"/>
      <x:c r="L101" s="18" t="str">
        <x:v>Yes</x:v>
      </x:c>
      <x:c r="M101" s="18" t="str">
        <x:f>IF(A101="","",A101&amp;"|"&amp;B101)</x:f>
      </x:c>
      <x:c r="N101" s="18"/>
    </x:row>
    <x:row r="102">
      <x:c r="A102" s="18"/>
      <x:c r="B102" s="18"/>
      <x:c r="C102" s="18"/>
      <x:c r="D102" s="19"/>
      <x:c r="E102" s="20"/>
      <x:c r="F102" s="20"/>
      <x:c r="G102" s="20" t="str">
        <x:f>IF(A102="","",IF(C102="Manual","Manual",MAX(0,IF(E102="",1,E102)-IF(OR(D102="",D102&lt;SWITCH(C102,"Daily",TODAY(),"Weekly",IFERROR(VLOOKUP(A102,'VIP Signups'!$A$5:$B$204,2,FALSE)+INT((TODAY()-VLOOKUP(A102,'VIP Signups'!$A$5:$B$204,2,FALSE))/7)*7,TODAY()),"Monthly",IFERROR(EDATE(VLOOKUP(A102,'VIP Signups'!$A$5:$B$204,2,FALSE),DATEDIF(VLOOKUP(A102,'VIP Signups'!$A$5:$B$204,2,FALSE),TODAY(),"M")),TODAY()),"Quarterly",IFERROR(EDATE(VLOOKUP(A102,'VIP Signups'!$A$5:$B$204,2,FALSE),INT(DATEDIF(VLOOKUP(A102,'VIP Signups'!$A$5:$B$204,2,FALSE),TODAY(),"M")/3)*3),TODAY()),"Yearly",IFERROR(EDATE(VLOOKUP(A102,'VIP Signups'!$A$5:$B$204,2,FALSE),DATEDIF(VLOOKUP(A102,'VIP Signups'!$A$5:$B$204,2,FALSE),TODAY(),"Y")*12),TODAY()),"One-time",IFERROR(VLOOKUP(A102,'VIP Signups'!$A$5:$B$204,2,FALSE),D102),"Manual",TODAY(),TODAY())),0,IF(F102="",0,F102)))))</x:f>
      </x:c>
      <x:c r="H102" s="19" t="str">
        <x:f>IF(A102="","",SWITCH(C102,"Daily",TODAY()+1,"Weekly",IFERROR(VLOOKUP(A102,'VIP Signups'!$A$5:$B$204,2,FALSE)+CEILING((TODAY()-VLOOKUP(A102,'VIP Signups'!$A$5:$B$204,2,FALSE)+1)/7,1)*7,D102+7),"Monthly",IFERROR(EDATE(VLOOKUP(A102,'VIP Signups'!$A$5:$B$204,2,FALSE),DATEDIF(VLOOKUP(A102,'VIP Signups'!$A$5:$B$204,2,FALSE),TODAY(),"M")+1),EDATE(D102,1)),"Quarterly",IFERROR(EDATE(VLOOKUP(A102,'VIP Signups'!$A$5:$B$204,2,FALSE),(INT(DATEDIF(VLOOKUP(A102,'VIP Signups'!$A$5:$B$204,2,FALSE),TODAY(),"M")/3)+1)*3),EDATE(D102,3)),"Yearly",IFERROR(EDATE(VLOOKUP(A102,'VIP Signups'!$A$5:$B$204,2,FALSE),(DATEDIF(VLOOKUP(A102,'VIP Signups'!$A$5:$B$204,2,FALSE),TODAY(),"Y")+1)*12),EDATE(D102,12)),"One-time","Used","Manual","Manual",""))</x:f>
      </x:c>
      <x:c r="I102" s="18" t="str">
        <x:f>IF(A102="","",IF(G102="Manual","Manual",IF(G102&gt;0,"Yes","No")))</x:f>
      </x:c>
      <x:c r="J102" s="18" t="str">
        <x:f>IF(A102="","",B102&amp;": "&amp;IF(I102="Yes","Available ("&amp;G102&amp;"/"&amp;IF(E102="",1,E102)&amp;" left)",IF(I102="Manual","Manual check",IF(ISNUMBER(H102),"0/"&amp;IF(E102="",1,E102)&amp;" left; resets "&amp;TEXT(H102,"yyyy-mm-dd"),"Used"))))</x:f>
      </x:c>
      <x:c r="K102" s="18"/>
      <x:c r="L102" s="18" t="str">
        <x:v>Yes</x:v>
      </x:c>
      <x:c r="M102" s="18" t="str">
        <x:f>IF(A102="","",A102&amp;"|"&amp;B102)</x:f>
      </x:c>
      <x:c r="N102" s="18"/>
    </x:row>
    <x:row r="103">
      <x:c r="A103" s="18"/>
      <x:c r="B103" s="18"/>
      <x:c r="C103" s="18"/>
      <x:c r="D103" s="19"/>
      <x:c r="E103" s="20"/>
      <x:c r="F103" s="20"/>
      <x:c r="G103" s="20" t="str">
        <x:f>IF(A103="","",IF(C103="Manual","Manual",MAX(0,IF(E103="",1,E103)-IF(OR(D103="",D103&lt;SWITCH(C103,"Daily",TODAY(),"Weekly",IFERROR(VLOOKUP(A103,'VIP Signups'!$A$5:$B$204,2,FALSE)+INT((TODAY()-VLOOKUP(A103,'VIP Signups'!$A$5:$B$204,2,FALSE))/7)*7,TODAY()),"Monthly",IFERROR(EDATE(VLOOKUP(A103,'VIP Signups'!$A$5:$B$204,2,FALSE),DATEDIF(VLOOKUP(A103,'VIP Signups'!$A$5:$B$204,2,FALSE),TODAY(),"M")),TODAY()),"Quarterly",IFERROR(EDATE(VLOOKUP(A103,'VIP Signups'!$A$5:$B$204,2,FALSE),INT(DATEDIF(VLOOKUP(A103,'VIP Signups'!$A$5:$B$204,2,FALSE),TODAY(),"M")/3)*3),TODAY()),"Yearly",IFERROR(EDATE(VLOOKUP(A103,'VIP Signups'!$A$5:$B$204,2,FALSE),DATEDIF(VLOOKUP(A103,'VIP Signups'!$A$5:$B$204,2,FALSE),TODAY(),"Y")*12),TODAY()),"One-time",IFERROR(VLOOKUP(A103,'VIP Signups'!$A$5:$B$204,2,FALSE),D103),"Manual",TODAY(),TODAY())),0,IF(F103="",0,F103)))))</x:f>
      </x:c>
      <x:c r="H103" s="19" t="str">
        <x:f>IF(A103="","",SWITCH(C103,"Daily",TODAY()+1,"Weekly",IFERROR(VLOOKUP(A103,'VIP Signups'!$A$5:$B$204,2,FALSE)+CEILING((TODAY()-VLOOKUP(A103,'VIP Signups'!$A$5:$B$204,2,FALSE)+1)/7,1)*7,D103+7),"Monthly",IFERROR(EDATE(VLOOKUP(A103,'VIP Signups'!$A$5:$B$204,2,FALSE),DATEDIF(VLOOKUP(A103,'VIP Signups'!$A$5:$B$204,2,FALSE),TODAY(),"M")+1),EDATE(D103,1)),"Quarterly",IFERROR(EDATE(VLOOKUP(A103,'VIP Signups'!$A$5:$B$204,2,FALSE),(INT(DATEDIF(VLOOKUP(A103,'VIP Signups'!$A$5:$B$204,2,FALSE),TODAY(),"M")/3)+1)*3),EDATE(D103,3)),"Yearly",IFERROR(EDATE(VLOOKUP(A103,'VIP Signups'!$A$5:$B$204,2,FALSE),(DATEDIF(VLOOKUP(A103,'VIP Signups'!$A$5:$B$204,2,FALSE),TODAY(),"Y")+1)*12),EDATE(D103,12)),"One-time","Used","Manual","Manual",""))</x:f>
      </x:c>
      <x:c r="I103" s="18" t="str">
        <x:f>IF(A103="","",IF(G103="Manual","Manual",IF(G103&gt;0,"Yes","No")))</x:f>
      </x:c>
      <x:c r="J103" s="18" t="str">
        <x:f>IF(A103="","",B103&amp;": "&amp;IF(I103="Yes","Available ("&amp;G103&amp;"/"&amp;IF(E103="",1,E103)&amp;" left)",IF(I103="Manual","Manual check",IF(ISNUMBER(H103),"0/"&amp;IF(E103="",1,E103)&amp;" left; resets "&amp;TEXT(H103,"yyyy-mm-dd"),"Used"))))</x:f>
      </x:c>
      <x:c r="K103" s="18"/>
      <x:c r="L103" s="18" t="str">
        <x:v>Yes</x:v>
      </x:c>
      <x:c r="M103" s="18" t="str">
        <x:f>IF(A103="","",A103&amp;"|"&amp;B103)</x:f>
      </x:c>
      <x:c r="N103" s="18"/>
    </x:row>
    <x:row r="104">
      <x:c r="A104" s="18"/>
      <x:c r="B104" s="18"/>
      <x:c r="C104" s="18"/>
      <x:c r="D104" s="19"/>
      <x:c r="E104" s="20"/>
      <x:c r="F104" s="20"/>
      <x:c r="G104" s="20" t="str">
        <x:f>IF(A104="","",IF(C104="Manual","Manual",MAX(0,IF(E104="",1,E104)-IF(OR(D104="",D104&lt;SWITCH(C104,"Daily",TODAY(),"Weekly",IFERROR(VLOOKUP(A104,'VIP Signups'!$A$5:$B$204,2,FALSE)+INT((TODAY()-VLOOKUP(A104,'VIP Signups'!$A$5:$B$204,2,FALSE))/7)*7,TODAY()),"Monthly",IFERROR(EDATE(VLOOKUP(A104,'VIP Signups'!$A$5:$B$204,2,FALSE),DATEDIF(VLOOKUP(A104,'VIP Signups'!$A$5:$B$204,2,FALSE),TODAY(),"M")),TODAY()),"Quarterly",IFERROR(EDATE(VLOOKUP(A104,'VIP Signups'!$A$5:$B$204,2,FALSE),INT(DATEDIF(VLOOKUP(A104,'VIP Signups'!$A$5:$B$204,2,FALSE),TODAY(),"M")/3)*3),TODAY()),"Yearly",IFERROR(EDATE(VLOOKUP(A104,'VIP Signups'!$A$5:$B$204,2,FALSE),DATEDIF(VLOOKUP(A104,'VIP Signups'!$A$5:$B$204,2,FALSE),TODAY(),"Y")*12),TODAY()),"One-time",IFERROR(VLOOKUP(A104,'VIP Signups'!$A$5:$B$204,2,FALSE),D104),"Manual",TODAY(),TODAY())),0,IF(F104="",0,F104)))))</x:f>
      </x:c>
      <x:c r="H104" s="19" t="str">
        <x:f>IF(A104="","",SWITCH(C104,"Daily",TODAY()+1,"Weekly",IFERROR(VLOOKUP(A104,'VIP Signups'!$A$5:$B$204,2,FALSE)+CEILING((TODAY()-VLOOKUP(A104,'VIP Signups'!$A$5:$B$204,2,FALSE)+1)/7,1)*7,D104+7),"Monthly",IFERROR(EDATE(VLOOKUP(A104,'VIP Signups'!$A$5:$B$204,2,FALSE),DATEDIF(VLOOKUP(A104,'VIP Signups'!$A$5:$B$204,2,FALSE),TODAY(),"M")+1),EDATE(D104,1)),"Quarterly",IFERROR(EDATE(VLOOKUP(A104,'VIP Signups'!$A$5:$B$204,2,FALSE),(INT(DATEDIF(VLOOKUP(A104,'VIP Signups'!$A$5:$B$204,2,FALSE),TODAY(),"M")/3)+1)*3),EDATE(D104,3)),"Yearly",IFERROR(EDATE(VLOOKUP(A104,'VIP Signups'!$A$5:$B$204,2,FALSE),(DATEDIF(VLOOKUP(A104,'VIP Signups'!$A$5:$B$204,2,FALSE),TODAY(),"Y")+1)*12),EDATE(D104,12)),"One-time","Used","Manual","Manual",""))</x:f>
      </x:c>
      <x:c r="I104" s="18" t="str">
        <x:f>IF(A104="","",IF(G104="Manual","Manual",IF(G104&gt;0,"Yes","No")))</x:f>
      </x:c>
      <x:c r="J104" s="18" t="str">
        <x:f>IF(A104="","",B104&amp;": "&amp;IF(I104="Yes","Available ("&amp;G104&amp;"/"&amp;IF(E104="",1,E104)&amp;" left)",IF(I104="Manual","Manual check",IF(ISNUMBER(H104),"0/"&amp;IF(E104="",1,E104)&amp;" left; resets "&amp;TEXT(H104,"yyyy-mm-dd"),"Used"))))</x:f>
      </x:c>
      <x:c r="K104" s="18"/>
      <x:c r="L104" s="18" t="str">
        <x:v>Yes</x:v>
      </x:c>
      <x:c r="M104" s="18" t="str">
        <x:f>IF(A104="","",A104&amp;"|"&amp;B104)</x:f>
      </x:c>
      <x:c r="N104" s="18"/>
    </x:row>
    <x:row r="105">
      <x:c r="A105" s="18"/>
      <x:c r="B105" s="18"/>
      <x:c r="C105" s="18"/>
      <x:c r="D105" s="19"/>
      <x:c r="E105" s="20"/>
      <x:c r="F105" s="20"/>
      <x:c r="G105" s="20" t="str">
        <x:f>IF(A105="","",IF(C105="Manual","Manual",MAX(0,IF(E105="",1,E105)-IF(OR(D105="",D105&lt;SWITCH(C105,"Daily",TODAY(),"Weekly",IFERROR(VLOOKUP(A105,'VIP Signups'!$A$5:$B$204,2,FALSE)+INT((TODAY()-VLOOKUP(A105,'VIP Signups'!$A$5:$B$204,2,FALSE))/7)*7,TODAY()),"Monthly",IFERROR(EDATE(VLOOKUP(A105,'VIP Signups'!$A$5:$B$204,2,FALSE),DATEDIF(VLOOKUP(A105,'VIP Signups'!$A$5:$B$204,2,FALSE),TODAY(),"M")),TODAY()),"Quarterly",IFERROR(EDATE(VLOOKUP(A105,'VIP Signups'!$A$5:$B$204,2,FALSE),INT(DATEDIF(VLOOKUP(A105,'VIP Signups'!$A$5:$B$204,2,FALSE),TODAY(),"M")/3)*3),TODAY()),"Yearly",IFERROR(EDATE(VLOOKUP(A105,'VIP Signups'!$A$5:$B$204,2,FALSE),DATEDIF(VLOOKUP(A105,'VIP Signups'!$A$5:$B$204,2,FALSE),TODAY(),"Y")*12),TODAY()),"One-time",IFERROR(VLOOKUP(A105,'VIP Signups'!$A$5:$B$204,2,FALSE),D105),"Manual",TODAY(),TODAY())),0,IF(F105="",0,F105)))))</x:f>
      </x:c>
      <x:c r="H105" s="19" t="str">
        <x:f>IF(A105="","",SWITCH(C105,"Daily",TODAY()+1,"Weekly",IFERROR(VLOOKUP(A105,'VIP Signups'!$A$5:$B$204,2,FALSE)+CEILING((TODAY()-VLOOKUP(A105,'VIP Signups'!$A$5:$B$204,2,FALSE)+1)/7,1)*7,D105+7),"Monthly",IFERROR(EDATE(VLOOKUP(A105,'VIP Signups'!$A$5:$B$204,2,FALSE),DATEDIF(VLOOKUP(A105,'VIP Signups'!$A$5:$B$204,2,FALSE),TODAY(),"M")+1),EDATE(D105,1)),"Quarterly",IFERROR(EDATE(VLOOKUP(A105,'VIP Signups'!$A$5:$B$204,2,FALSE),(INT(DATEDIF(VLOOKUP(A105,'VIP Signups'!$A$5:$B$204,2,FALSE),TODAY(),"M")/3)+1)*3),EDATE(D105,3)),"Yearly",IFERROR(EDATE(VLOOKUP(A105,'VIP Signups'!$A$5:$B$204,2,FALSE),(DATEDIF(VLOOKUP(A105,'VIP Signups'!$A$5:$B$204,2,FALSE),TODAY(),"Y")+1)*12),EDATE(D105,12)),"One-time","Used","Manual","Manual",""))</x:f>
      </x:c>
      <x:c r="I105" s="18" t="str">
        <x:f>IF(A105="","",IF(G105="Manual","Manual",IF(G105&gt;0,"Yes","No")))</x:f>
      </x:c>
      <x:c r="J105" s="18" t="str">
        <x:f>IF(A105="","",B105&amp;": "&amp;IF(I105="Yes","Available ("&amp;G105&amp;"/"&amp;IF(E105="",1,E105)&amp;" left)",IF(I105="Manual","Manual check",IF(ISNUMBER(H105),"0/"&amp;IF(E105="",1,E105)&amp;" left; resets "&amp;TEXT(H105,"yyyy-mm-dd"),"Used"))))</x:f>
      </x:c>
      <x:c r="K105" s="18"/>
      <x:c r="L105" s="18" t="str">
        <x:v>Yes</x:v>
      </x:c>
      <x:c r="M105" s="18" t="str">
        <x:f>IF(A105="","",A105&amp;"|"&amp;B105)</x:f>
      </x:c>
      <x:c r="N105" s="18"/>
    </x:row>
    <x:row r="106">
      <x:c r="A106" s="18"/>
      <x:c r="B106" s="18"/>
      <x:c r="C106" s="18"/>
      <x:c r="D106" s="19"/>
      <x:c r="E106" s="20"/>
      <x:c r="F106" s="20"/>
      <x:c r="G106" s="20" t="str">
        <x:f>IF(A106="","",IF(C106="Manual","Manual",MAX(0,IF(E106="",1,E106)-IF(OR(D106="",D106&lt;SWITCH(C106,"Daily",TODAY(),"Weekly",IFERROR(VLOOKUP(A106,'VIP Signups'!$A$5:$B$204,2,FALSE)+INT((TODAY()-VLOOKUP(A106,'VIP Signups'!$A$5:$B$204,2,FALSE))/7)*7,TODAY()),"Monthly",IFERROR(EDATE(VLOOKUP(A106,'VIP Signups'!$A$5:$B$204,2,FALSE),DATEDIF(VLOOKUP(A106,'VIP Signups'!$A$5:$B$204,2,FALSE),TODAY(),"M")),TODAY()),"Quarterly",IFERROR(EDATE(VLOOKUP(A106,'VIP Signups'!$A$5:$B$204,2,FALSE),INT(DATEDIF(VLOOKUP(A106,'VIP Signups'!$A$5:$B$204,2,FALSE),TODAY(),"M")/3)*3),TODAY()),"Yearly",IFERROR(EDATE(VLOOKUP(A106,'VIP Signups'!$A$5:$B$204,2,FALSE),DATEDIF(VLOOKUP(A106,'VIP Signups'!$A$5:$B$204,2,FALSE),TODAY(),"Y")*12),TODAY()),"One-time",IFERROR(VLOOKUP(A106,'VIP Signups'!$A$5:$B$204,2,FALSE),D106),"Manual",TODAY(),TODAY())),0,IF(F106="",0,F106)))))</x:f>
      </x:c>
      <x:c r="H106" s="19" t="str">
        <x:f>IF(A106="","",SWITCH(C106,"Daily",TODAY()+1,"Weekly",IFERROR(VLOOKUP(A106,'VIP Signups'!$A$5:$B$204,2,FALSE)+CEILING((TODAY()-VLOOKUP(A106,'VIP Signups'!$A$5:$B$204,2,FALSE)+1)/7,1)*7,D106+7),"Monthly",IFERROR(EDATE(VLOOKUP(A106,'VIP Signups'!$A$5:$B$204,2,FALSE),DATEDIF(VLOOKUP(A106,'VIP Signups'!$A$5:$B$204,2,FALSE),TODAY(),"M")+1),EDATE(D106,1)),"Quarterly",IFERROR(EDATE(VLOOKUP(A106,'VIP Signups'!$A$5:$B$204,2,FALSE),(INT(DATEDIF(VLOOKUP(A106,'VIP Signups'!$A$5:$B$204,2,FALSE),TODAY(),"M")/3)+1)*3),EDATE(D106,3)),"Yearly",IFERROR(EDATE(VLOOKUP(A106,'VIP Signups'!$A$5:$B$204,2,FALSE),(DATEDIF(VLOOKUP(A106,'VIP Signups'!$A$5:$B$204,2,FALSE),TODAY(),"Y")+1)*12),EDATE(D106,12)),"One-time","Used","Manual","Manual",""))</x:f>
      </x:c>
      <x:c r="I106" s="18" t="str">
        <x:f>IF(A106="","",IF(G106="Manual","Manual",IF(G106&gt;0,"Yes","No")))</x:f>
      </x:c>
      <x:c r="J106" s="18" t="str">
        <x:f>IF(A106="","",B106&amp;": "&amp;IF(I106="Yes","Available ("&amp;G106&amp;"/"&amp;IF(E106="",1,E106)&amp;" left)",IF(I106="Manual","Manual check",IF(ISNUMBER(H106),"0/"&amp;IF(E106="",1,E106)&amp;" left; resets "&amp;TEXT(H106,"yyyy-mm-dd"),"Used"))))</x:f>
      </x:c>
      <x:c r="K106" s="18"/>
      <x:c r="L106" s="18" t="str">
        <x:v>Yes</x:v>
      </x:c>
      <x:c r="M106" s="18" t="str">
        <x:f>IF(A106="","",A106&amp;"|"&amp;B106)</x:f>
      </x:c>
      <x:c r="N106" s="18"/>
    </x:row>
    <x:row r="107">
      <x:c r="A107" s="18"/>
      <x:c r="B107" s="18"/>
      <x:c r="C107" s="18"/>
      <x:c r="D107" s="19"/>
      <x:c r="E107" s="20"/>
      <x:c r="F107" s="20"/>
      <x:c r="G107" s="20" t="str">
        <x:f>IF(A107="","",IF(C107="Manual","Manual",MAX(0,IF(E107="",1,E107)-IF(OR(D107="",D107&lt;SWITCH(C107,"Daily",TODAY(),"Weekly",IFERROR(VLOOKUP(A107,'VIP Signups'!$A$5:$B$204,2,FALSE)+INT((TODAY()-VLOOKUP(A107,'VIP Signups'!$A$5:$B$204,2,FALSE))/7)*7,TODAY()),"Monthly",IFERROR(EDATE(VLOOKUP(A107,'VIP Signups'!$A$5:$B$204,2,FALSE),DATEDIF(VLOOKUP(A107,'VIP Signups'!$A$5:$B$204,2,FALSE),TODAY(),"M")),TODAY()),"Quarterly",IFERROR(EDATE(VLOOKUP(A107,'VIP Signups'!$A$5:$B$204,2,FALSE),INT(DATEDIF(VLOOKUP(A107,'VIP Signups'!$A$5:$B$204,2,FALSE),TODAY(),"M")/3)*3),TODAY()),"Yearly",IFERROR(EDATE(VLOOKUP(A107,'VIP Signups'!$A$5:$B$204,2,FALSE),DATEDIF(VLOOKUP(A107,'VIP Signups'!$A$5:$B$204,2,FALSE),TODAY(),"Y")*12),TODAY()),"One-time",IFERROR(VLOOKUP(A107,'VIP Signups'!$A$5:$B$204,2,FALSE),D107),"Manual",TODAY(),TODAY())),0,IF(F107="",0,F107)))))</x:f>
      </x:c>
      <x:c r="H107" s="19" t="str">
        <x:f>IF(A107="","",SWITCH(C107,"Daily",TODAY()+1,"Weekly",IFERROR(VLOOKUP(A107,'VIP Signups'!$A$5:$B$204,2,FALSE)+CEILING((TODAY()-VLOOKUP(A107,'VIP Signups'!$A$5:$B$204,2,FALSE)+1)/7,1)*7,D107+7),"Monthly",IFERROR(EDATE(VLOOKUP(A107,'VIP Signups'!$A$5:$B$204,2,FALSE),DATEDIF(VLOOKUP(A107,'VIP Signups'!$A$5:$B$204,2,FALSE),TODAY(),"M")+1),EDATE(D107,1)),"Quarterly",IFERROR(EDATE(VLOOKUP(A107,'VIP Signups'!$A$5:$B$204,2,FALSE),(INT(DATEDIF(VLOOKUP(A107,'VIP Signups'!$A$5:$B$204,2,FALSE),TODAY(),"M")/3)+1)*3),EDATE(D107,3)),"Yearly",IFERROR(EDATE(VLOOKUP(A107,'VIP Signups'!$A$5:$B$204,2,FALSE),(DATEDIF(VLOOKUP(A107,'VIP Signups'!$A$5:$B$204,2,FALSE),TODAY(),"Y")+1)*12),EDATE(D107,12)),"One-time","Used","Manual","Manual",""))</x:f>
      </x:c>
      <x:c r="I107" s="18" t="str">
        <x:f>IF(A107="","",IF(G107="Manual","Manual",IF(G107&gt;0,"Yes","No")))</x:f>
      </x:c>
      <x:c r="J107" s="18" t="str">
        <x:f>IF(A107="","",B107&amp;": "&amp;IF(I107="Yes","Available ("&amp;G107&amp;"/"&amp;IF(E107="",1,E107)&amp;" left)",IF(I107="Manual","Manual check",IF(ISNUMBER(H107),"0/"&amp;IF(E107="",1,E107)&amp;" left; resets "&amp;TEXT(H107,"yyyy-mm-dd"),"Used"))))</x:f>
      </x:c>
      <x:c r="K107" s="18"/>
      <x:c r="L107" s="18" t="str">
        <x:v>Yes</x:v>
      </x:c>
      <x:c r="M107" s="18" t="str">
        <x:f>IF(A107="","",A107&amp;"|"&amp;B107)</x:f>
      </x:c>
      <x:c r="N107" s="18"/>
    </x:row>
    <x:row r="108">
      <x:c r="A108" s="18"/>
      <x:c r="B108" s="18"/>
      <x:c r="C108" s="18"/>
      <x:c r="D108" s="19"/>
      <x:c r="E108" s="20"/>
      <x:c r="F108" s="20"/>
      <x:c r="G108" s="20" t="str">
        <x:f>IF(A108="","",IF(C108="Manual","Manual",MAX(0,IF(E108="",1,E108)-IF(OR(D108="",D108&lt;SWITCH(C108,"Daily",TODAY(),"Weekly",IFERROR(VLOOKUP(A108,'VIP Signups'!$A$5:$B$204,2,FALSE)+INT((TODAY()-VLOOKUP(A108,'VIP Signups'!$A$5:$B$204,2,FALSE))/7)*7,TODAY()),"Monthly",IFERROR(EDATE(VLOOKUP(A108,'VIP Signups'!$A$5:$B$204,2,FALSE),DATEDIF(VLOOKUP(A108,'VIP Signups'!$A$5:$B$204,2,FALSE),TODAY(),"M")),TODAY()),"Quarterly",IFERROR(EDATE(VLOOKUP(A108,'VIP Signups'!$A$5:$B$204,2,FALSE),INT(DATEDIF(VLOOKUP(A108,'VIP Signups'!$A$5:$B$204,2,FALSE),TODAY(),"M")/3)*3),TODAY()),"Yearly",IFERROR(EDATE(VLOOKUP(A108,'VIP Signups'!$A$5:$B$204,2,FALSE),DATEDIF(VLOOKUP(A108,'VIP Signups'!$A$5:$B$204,2,FALSE),TODAY(),"Y")*12),TODAY()),"One-time",IFERROR(VLOOKUP(A108,'VIP Signups'!$A$5:$B$204,2,FALSE),D108),"Manual",TODAY(),TODAY())),0,IF(F108="",0,F108)))))</x:f>
      </x:c>
      <x:c r="H108" s="19" t="str">
        <x:f>IF(A108="","",SWITCH(C108,"Daily",TODAY()+1,"Weekly",IFERROR(VLOOKUP(A108,'VIP Signups'!$A$5:$B$204,2,FALSE)+CEILING((TODAY()-VLOOKUP(A108,'VIP Signups'!$A$5:$B$204,2,FALSE)+1)/7,1)*7,D108+7),"Monthly",IFERROR(EDATE(VLOOKUP(A108,'VIP Signups'!$A$5:$B$204,2,FALSE),DATEDIF(VLOOKUP(A108,'VIP Signups'!$A$5:$B$204,2,FALSE),TODAY(),"M")+1),EDATE(D108,1)),"Quarterly",IFERROR(EDATE(VLOOKUP(A108,'VIP Signups'!$A$5:$B$204,2,FALSE),(INT(DATEDIF(VLOOKUP(A108,'VIP Signups'!$A$5:$B$204,2,FALSE),TODAY(),"M")/3)+1)*3),EDATE(D108,3)),"Yearly",IFERROR(EDATE(VLOOKUP(A108,'VIP Signups'!$A$5:$B$204,2,FALSE),(DATEDIF(VLOOKUP(A108,'VIP Signups'!$A$5:$B$204,2,FALSE),TODAY(),"Y")+1)*12),EDATE(D108,12)),"One-time","Used","Manual","Manual",""))</x:f>
      </x:c>
      <x:c r="I108" s="18" t="str">
        <x:f>IF(A108="","",IF(G108="Manual","Manual",IF(G108&gt;0,"Yes","No")))</x:f>
      </x:c>
      <x:c r="J108" s="18" t="str">
        <x:f>IF(A108="","",B108&amp;": "&amp;IF(I108="Yes","Available ("&amp;G108&amp;"/"&amp;IF(E108="",1,E108)&amp;" left)",IF(I108="Manual","Manual check",IF(ISNUMBER(H108),"0/"&amp;IF(E108="",1,E108)&amp;" left; resets "&amp;TEXT(H108,"yyyy-mm-dd"),"Used"))))</x:f>
      </x:c>
      <x:c r="K108" s="18"/>
      <x:c r="L108" s="18" t="str">
        <x:v>Yes</x:v>
      </x:c>
      <x:c r="M108" s="18" t="str">
        <x:f>IF(A108="","",A108&amp;"|"&amp;B108)</x:f>
      </x:c>
      <x:c r="N108" s="18"/>
    </x:row>
    <x:row r="109">
      <x:c r="A109" s="18"/>
      <x:c r="B109" s="18"/>
      <x:c r="C109" s="18"/>
      <x:c r="D109" s="19"/>
      <x:c r="E109" s="20"/>
      <x:c r="F109" s="20"/>
      <x:c r="G109" s="20" t="str">
        <x:f>IF(A109="","",IF(C109="Manual","Manual",MAX(0,IF(E109="",1,E109)-IF(OR(D109="",D109&lt;SWITCH(C109,"Daily",TODAY(),"Weekly",IFERROR(VLOOKUP(A109,'VIP Signups'!$A$5:$B$204,2,FALSE)+INT((TODAY()-VLOOKUP(A109,'VIP Signups'!$A$5:$B$204,2,FALSE))/7)*7,TODAY()),"Monthly",IFERROR(EDATE(VLOOKUP(A109,'VIP Signups'!$A$5:$B$204,2,FALSE),DATEDIF(VLOOKUP(A109,'VIP Signups'!$A$5:$B$204,2,FALSE),TODAY(),"M")),TODAY()),"Quarterly",IFERROR(EDATE(VLOOKUP(A109,'VIP Signups'!$A$5:$B$204,2,FALSE),INT(DATEDIF(VLOOKUP(A109,'VIP Signups'!$A$5:$B$204,2,FALSE),TODAY(),"M")/3)*3),TODAY()),"Yearly",IFERROR(EDATE(VLOOKUP(A109,'VIP Signups'!$A$5:$B$204,2,FALSE),DATEDIF(VLOOKUP(A109,'VIP Signups'!$A$5:$B$204,2,FALSE),TODAY(),"Y")*12),TODAY()),"One-time",IFERROR(VLOOKUP(A109,'VIP Signups'!$A$5:$B$204,2,FALSE),D109),"Manual",TODAY(),TODAY())),0,IF(F109="",0,F109)))))</x:f>
      </x:c>
      <x:c r="H109" s="19" t="str">
        <x:f>IF(A109="","",SWITCH(C109,"Daily",TODAY()+1,"Weekly",IFERROR(VLOOKUP(A109,'VIP Signups'!$A$5:$B$204,2,FALSE)+CEILING((TODAY()-VLOOKUP(A109,'VIP Signups'!$A$5:$B$204,2,FALSE)+1)/7,1)*7,D109+7),"Monthly",IFERROR(EDATE(VLOOKUP(A109,'VIP Signups'!$A$5:$B$204,2,FALSE),DATEDIF(VLOOKUP(A109,'VIP Signups'!$A$5:$B$204,2,FALSE),TODAY(),"M")+1),EDATE(D109,1)),"Quarterly",IFERROR(EDATE(VLOOKUP(A109,'VIP Signups'!$A$5:$B$204,2,FALSE),(INT(DATEDIF(VLOOKUP(A109,'VIP Signups'!$A$5:$B$204,2,FALSE),TODAY(),"M")/3)+1)*3),EDATE(D109,3)),"Yearly",IFERROR(EDATE(VLOOKUP(A109,'VIP Signups'!$A$5:$B$204,2,FALSE),(DATEDIF(VLOOKUP(A109,'VIP Signups'!$A$5:$B$204,2,FALSE),TODAY(),"Y")+1)*12),EDATE(D109,12)),"One-time","Used","Manual","Manual",""))</x:f>
      </x:c>
      <x:c r="I109" s="18" t="str">
        <x:f>IF(A109="","",IF(G109="Manual","Manual",IF(G109&gt;0,"Yes","No")))</x:f>
      </x:c>
      <x:c r="J109" s="18" t="str">
        <x:f>IF(A109="","",B109&amp;": "&amp;IF(I109="Yes","Available ("&amp;G109&amp;"/"&amp;IF(E109="",1,E109)&amp;" left)",IF(I109="Manual","Manual check",IF(ISNUMBER(H109),"0/"&amp;IF(E109="",1,E109)&amp;" left; resets "&amp;TEXT(H109,"yyyy-mm-dd"),"Used"))))</x:f>
      </x:c>
      <x:c r="K109" s="18"/>
      <x:c r="L109" s="18" t="str">
        <x:v>Yes</x:v>
      </x:c>
      <x:c r="M109" s="18" t="str">
        <x:f>IF(A109="","",A109&amp;"|"&amp;B109)</x:f>
      </x:c>
      <x:c r="N109" s="18"/>
    </x:row>
    <x:row r="110">
      <x:c r="A110" s="18"/>
      <x:c r="B110" s="18"/>
      <x:c r="C110" s="18"/>
      <x:c r="D110" s="19"/>
      <x:c r="E110" s="20"/>
      <x:c r="F110" s="20"/>
      <x:c r="G110" s="20" t="str">
        <x:f>IF(A110="","",IF(C110="Manual","Manual",MAX(0,IF(E110="",1,E110)-IF(OR(D110="",D110&lt;SWITCH(C110,"Daily",TODAY(),"Weekly",IFERROR(VLOOKUP(A110,'VIP Signups'!$A$5:$B$204,2,FALSE)+INT((TODAY()-VLOOKUP(A110,'VIP Signups'!$A$5:$B$204,2,FALSE))/7)*7,TODAY()),"Monthly",IFERROR(EDATE(VLOOKUP(A110,'VIP Signups'!$A$5:$B$204,2,FALSE),DATEDIF(VLOOKUP(A110,'VIP Signups'!$A$5:$B$204,2,FALSE),TODAY(),"M")),TODAY()),"Quarterly",IFERROR(EDATE(VLOOKUP(A110,'VIP Signups'!$A$5:$B$204,2,FALSE),INT(DATEDIF(VLOOKUP(A110,'VIP Signups'!$A$5:$B$204,2,FALSE),TODAY(),"M")/3)*3),TODAY()),"Yearly",IFERROR(EDATE(VLOOKUP(A110,'VIP Signups'!$A$5:$B$204,2,FALSE),DATEDIF(VLOOKUP(A110,'VIP Signups'!$A$5:$B$204,2,FALSE),TODAY(),"Y")*12),TODAY()),"One-time",IFERROR(VLOOKUP(A110,'VIP Signups'!$A$5:$B$204,2,FALSE),D110),"Manual",TODAY(),TODAY())),0,IF(F110="",0,F110)))))</x:f>
      </x:c>
      <x:c r="H110" s="19" t="str">
        <x:f>IF(A110="","",SWITCH(C110,"Daily",TODAY()+1,"Weekly",IFERROR(VLOOKUP(A110,'VIP Signups'!$A$5:$B$204,2,FALSE)+CEILING((TODAY()-VLOOKUP(A110,'VIP Signups'!$A$5:$B$204,2,FALSE)+1)/7,1)*7,D110+7),"Monthly",IFERROR(EDATE(VLOOKUP(A110,'VIP Signups'!$A$5:$B$204,2,FALSE),DATEDIF(VLOOKUP(A110,'VIP Signups'!$A$5:$B$204,2,FALSE),TODAY(),"M")+1),EDATE(D110,1)),"Quarterly",IFERROR(EDATE(VLOOKUP(A110,'VIP Signups'!$A$5:$B$204,2,FALSE),(INT(DATEDIF(VLOOKUP(A110,'VIP Signups'!$A$5:$B$204,2,FALSE),TODAY(),"M")/3)+1)*3),EDATE(D110,3)),"Yearly",IFERROR(EDATE(VLOOKUP(A110,'VIP Signups'!$A$5:$B$204,2,FALSE),(DATEDIF(VLOOKUP(A110,'VIP Signups'!$A$5:$B$204,2,FALSE),TODAY(),"Y")+1)*12),EDATE(D110,12)),"One-time","Used","Manual","Manual",""))</x:f>
      </x:c>
      <x:c r="I110" s="18" t="str">
        <x:f>IF(A110="","",IF(G110="Manual","Manual",IF(G110&gt;0,"Yes","No")))</x:f>
      </x:c>
      <x:c r="J110" s="18" t="str">
        <x:f>IF(A110="","",B110&amp;": "&amp;IF(I110="Yes","Available ("&amp;G110&amp;"/"&amp;IF(E110="",1,E110)&amp;" left)",IF(I110="Manual","Manual check",IF(ISNUMBER(H110),"0/"&amp;IF(E110="",1,E110)&amp;" left; resets "&amp;TEXT(H110,"yyyy-mm-dd"),"Used"))))</x:f>
      </x:c>
      <x:c r="K110" s="18"/>
      <x:c r="L110" s="18" t="str">
        <x:v>Yes</x:v>
      </x:c>
      <x:c r="M110" s="18" t="str">
        <x:f>IF(A110="","",A110&amp;"|"&amp;B110)</x:f>
      </x:c>
      <x:c r="N110" s="18"/>
    </x:row>
    <x:row r="111">
      <x:c r="A111" s="18"/>
      <x:c r="B111" s="18"/>
      <x:c r="C111" s="18"/>
      <x:c r="D111" s="19"/>
      <x:c r="E111" s="20"/>
      <x:c r="F111" s="20"/>
      <x:c r="G111" s="20" t="str">
        <x:f>IF(A111="","",IF(C111="Manual","Manual",MAX(0,IF(E111="",1,E111)-IF(OR(D111="",D111&lt;SWITCH(C111,"Daily",TODAY(),"Weekly",IFERROR(VLOOKUP(A111,'VIP Signups'!$A$5:$B$204,2,FALSE)+INT((TODAY()-VLOOKUP(A111,'VIP Signups'!$A$5:$B$204,2,FALSE))/7)*7,TODAY()),"Monthly",IFERROR(EDATE(VLOOKUP(A111,'VIP Signups'!$A$5:$B$204,2,FALSE),DATEDIF(VLOOKUP(A111,'VIP Signups'!$A$5:$B$204,2,FALSE),TODAY(),"M")),TODAY()),"Quarterly",IFERROR(EDATE(VLOOKUP(A111,'VIP Signups'!$A$5:$B$204,2,FALSE),INT(DATEDIF(VLOOKUP(A111,'VIP Signups'!$A$5:$B$204,2,FALSE),TODAY(),"M")/3)*3),TODAY()),"Yearly",IFERROR(EDATE(VLOOKUP(A111,'VIP Signups'!$A$5:$B$204,2,FALSE),DATEDIF(VLOOKUP(A111,'VIP Signups'!$A$5:$B$204,2,FALSE),TODAY(),"Y")*12),TODAY()),"One-time",IFERROR(VLOOKUP(A111,'VIP Signups'!$A$5:$B$204,2,FALSE),D111),"Manual",TODAY(),TODAY())),0,IF(F111="",0,F111)))))</x:f>
      </x:c>
      <x:c r="H111" s="19" t="str">
        <x:f>IF(A111="","",SWITCH(C111,"Daily",TODAY()+1,"Weekly",IFERROR(VLOOKUP(A111,'VIP Signups'!$A$5:$B$204,2,FALSE)+CEILING((TODAY()-VLOOKUP(A111,'VIP Signups'!$A$5:$B$204,2,FALSE)+1)/7,1)*7,D111+7),"Monthly",IFERROR(EDATE(VLOOKUP(A111,'VIP Signups'!$A$5:$B$204,2,FALSE),DATEDIF(VLOOKUP(A111,'VIP Signups'!$A$5:$B$204,2,FALSE),TODAY(),"M")+1),EDATE(D111,1)),"Quarterly",IFERROR(EDATE(VLOOKUP(A111,'VIP Signups'!$A$5:$B$204,2,FALSE),(INT(DATEDIF(VLOOKUP(A111,'VIP Signups'!$A$5:$B$204,2,FALSE),TODAY(),"M")/3)+1)*3),EDATE(D111,3)),"Yearly",IFERROR(EDATE(VLOOKUP(A111,'VIP Signups'!$A$5:$B$204,2,FALSE),(DATEDIF(VLOOKUP(A111,'VIP Signups'!$A$5:$B$204,2,FALSE),TODAY(),"Y")+1)*12),EDATE(D111,12)),"One-time","Used","Manual","Manual",""))</x:f>
      </x:c>
      <x:c r="I111" s="18" t="str">
        <x:f>IF(A111="","",IF(G111="Manual","Manual",IF(G111&gt;0,"Yes","No")))</x:f>
      </x:c>
      <x:c r="J111" s="18" t="str">
        <x:f>IF(A111="","",B111&amp;": "&amp;IF(I111="Yes","Available ("&amp;G111&amp;"/"&amp;IF(E111="",1,E111)&amp;" left)",IF(I111="Manual","Manual check",IF(ISNUMBER(H111),"0/"&amp;IF(E111="",1,E111)&amp;" left; resets "&amp;TEXT(H111,"yyyy-mm-dd"),"Used"))))</x:f>
      </x:c>
      <x:c r="K111" s="18"/>
      <x:c r="L111" s="18" t="str">
        <x:v>Yes</x:v>
      </x:c>
      <x:c r="M111" s="18" t="str">
        <x:f>IF(A111="","",A111&amp;"|"&amp;B111)</x:f>
      </x:c>
      <x:c r="N111" s="18"/>
    </x:row>
    <x:row r="112">
      <x:c r="A112" s="18"/>
      <x:c r="B112" s="18"/>
      <x:c r="C112" s="18"/>
      <x:c r="D112" s="19"/>
      <x:c r="E112" s="20"/>
      <x:c r="F112" s="20"/>
      <x:c r="G112" s="20" t="str">
        <x:f>IF(A112="","",IF(C112="Manual","Manual",MAX(0,IF(E112="",1,E112)-IF(OR(D112="",D112&lt;SWITCH(C112,"Daily",TODAY(),"Weekly",IFERROR(VLOOKUP(A112,'VIP Signups'!$A$5:$B$204,2,FALSE)+INT((TODAY()-VLOOKUP(A112,'VIP Signups'!$A$5:$B$204,2,FALSE))/7)*7,TODAY()),"Monthly",IFERROR(EDATE(VLOOKUP(A112,'VIP Signups'!$A$5:$B$204,2,FALSE),DATEDIF(VLOOKUP(A112,'VIP Signups'!$A$5:$B$204,2,FALSE),TODAY(),"M")),TODAY()),"Quarterly",IFERROR(EDATE(VLOOKUP(A112,'VIP Signups'!$A$5:$B$204,2,FALSE),INT(DATEDIF(VLOOKUP(A112,'VIP Signups'!$A$5:$B$204,2,FALSE),TODAY(),"M")/3)*3),TODAY()),"Yearly",IFERROR(EDATE(VLOOKUP(A112,'VIP Signups'!$A$5:$B$204,2,FALSE),DATEDIF(VLOOKUP(A112,'VIP Signups'!$A$5:$B$204,2,FALSE),TODAY(),"Y")*12),TODAY()),"One-time",IFERROR(VLOOKUP(A112,'VIP Signups'!$A$5:$B$204,2,FALSE),D112),"Manual",TODAY(),TODAY())),0,IF(F112="",0,F112)))))</x:f>
      </x:c>
      <x:c r="H112" s="19" t="str">
        <x:f>IF(A112="","",SWITCH(C112,"Daily",TODAY()+1,"Weekly",IFERROR(VLOOKUP(A112,'VIP Signups'!$A$5:$B$204,2,FALSE)+CEILING((TODAY()-VLOOKUP(A112,'VIP Signups'!$A$5:$B$204,2,FALSE)+1)/7,1)*7,D112+7),"Monthly",IFERROR(EDATE(VLOOKUP(A112,'VIP Signups'!$A$5:$B$204,2,FALSE),DATEDIF(VLOOKUP(A112,'VIP Signups'!$A$5:$B$204,2,FALSE),TODAY(),"M")+1),EDATE(D112,1)),"Quarterly",IFERROR(EDATE(VLOOKUP(A112,'VIP Signups'!$A$5:$B$204,2,FALSE),(INT(DATEDIF(VLOOKUP(A112,'VIP Signups'!$A$5:$B$204,2,FALSE),TODAY(),"M")/3)+1)*3),EDATE(D112,3)),"Yearly",IFERROR(EDATE(VLOOKUP(A112,'VIP Signups'!$A$5:$B$204,2,FALSE),(DATEDIF(VLOOKUP(A112,'VIP Signups'!$A$5:$B$204,2,FALSE),TODAY(),"Y")+1)*12),EDATE(D112,12)),"One-time","Used","Manual","Manual",""))</x:f>
      </x:c>
      <x:c r="I112" s="18" t="str">
        <x:f>IF(A112="","",IF(G112="Manual","Manual",IF(G112&gt;0,"Yes","No")))</x:f>
      </x:c>
      <x:c r="J112" s="18" t="str">
        <x:f>IF(A112="","",B112&amp;": "&amp;IF(I112="Yes","Available ("&amp;G112&amp;"/"&amp;IF(E112="",1,E112)&amp;" left)",IF(I112="Manual","Manual check",IF(ISNUMBER(H112),"0/"&amp;IF(E112="",1,E112)&amp;" left; resets "&amp;TEXT(H112,"yyyy-mm-dd"),"Used"))))</x:f>
      </x:c>
      <x:c r="K112" s="18"/>
      <x:c r="L112" s="18" t="str">
        <x:v>Yes</x:v>
      </x:c>
      <x:c r="M112" s="18" t="str">
        <x:f>IF(A112="","",A112&amp;"|"&amp;B112)</x:f>
      </x:c>
      <x:c r="N112" s="18"/>
    </x:row>
    <x:row r="113">
      <x:c r="A113" s="18"/>
      <x:c r="B113" s="18"/>
      <x:c r="C113" s="18"/>
      <x:c r="D113" s="19"/>
      <x:c r="E113" s="20"/>
      <x:c r="F113" s="20"/>
      <x:c r="G113" s="20" t="str">
        <x:f>IF(A113="","",IF(C113="Manual","Manual",MAX(0,IF(E113="",1,E113)-IF(OR(D113="",D113&lt;SWITCH(C113,"Daily",TODAY(),"Weekly",IFERROR(VLOOKUP(A113,'VIP Signups'!$A$5:$B$204,2,FALSE)+INT((TODAY()-VLOOKUP(A113,'VIP Signups'!$A$5:$B$204,2,FALSE))/7)*7,TODAY()),"Monthly",IFERROR(EDATE(VLOOKUP(A113,'VIP Signups'!$A$5:$B$204,2,FALSE),DATEDIF(VLOOKUP(A113,'VIP Signups'!$A$5:$B$204,2,FALSE),TODAY(),"M")),TODAY()),"Quarterly",IFERROR(EDATE(VLOOKUP(A113,'VIP Signups'!$A$5:$B$204,2,FALSE),INT(DATEDIF(VLOOKUP(A113,'VIP Signups'!$A$5:$B$204,2,FALSE),TODAY(),"M")/3)*3),TODAY()),"Yearly",IFERROR(EDATE(VLOOKUP(A113,'VIP Signups'!$A$5:$B$204,2,FALSE),DATEDIF(VLOOKUP(A113,'VIP Signups'!$A$5:$B$204,2,FALSE),TODAY(),"Y")*12),TODAY()),"One-time",IFERROR(VLOOKUP(A113,'VIP Signups'!$A$5:$B$204,2,FALSE),D113),"Manual",TODAY(),TODAY())),0,IF(F113="",0,F113)))))</x:f>
      </x:c>
      <x:c r="H113" s="19" t="str">
        <x:f>IF(A113="","",SWITCH(C113,"Daily",TODAY()+1,"Weekly",IFERROR(VLOOKUP(A113,'VIP Signups'!$A$5:$B$204,2,FALSE)+CEILING((TODAY()-VLOOKUP(A113,'VIP Signups'!$A$5:$B$204,2,FALSE)+1)/7,1)*7,D113+7),"Monthly",IFERROR(EDATE(VLOOKUP(A113,'VIP Signups'!$A$5:$B$204,2,FALSE),DATEDIF(VLOOKUP(A113,'VIP Signups'!$A$5:$B$204,2,FALSE),TODAY(),"M")+1),EDATE(D113,1)),"Quarterly",IFERROR(EDATE(VLOOKUP(A113,'VIP Signups'!$A$5:$B$204,2,FALSE),(INT(DATEDIF(VLOOKUP(A113,'VIP Signups'!$A$5:$B$204,2,FALSE),TODAY(),"M")/3)+1)*3),EDATE(D113,3)),"Yearly",IFERROR(EDATE(VLOOKUP(A113,'VIP Signups'!$A$5:$B$204,2,FALSE),(DATEDIF(VLOOKUP(A113,'VIP Signups'!$A$5:$B$204,2,FALSE),TODAY(),"Y")+1)*12),EDATE(D113,12)),"One-time","Used","Manual","Manual",""))</x:f>
      </x:c>
      <x:c r="I113" s="18" t="str">
        <x:f>IF(A113="","",IF(G113="Manual","Manual",IF(G113&gt;0,"Yes","No")))</x:f>
      </x:c>
      <x:c r="J113" s="18" t="str">
        <x:f>IF(A113="","",B113&amp;": "&amp;IF(I113="Yes","Available ("&amp;G113&amp;"/"&amp;IF(E113="",1,E113)&amp;" left)",IF(I113="Manual","Manual check",IF(ISNUMBER(H113),"0/"&amp;IF(E113="",1,E113)&amp;" left; resets "&amp;TEXT(H113,"yyyy-mm-dd"),"Used"))))</x:f>
      </x:c>
      <x:c r="K113" s="18"/>
      <x:c r="L113" s="18" t="str">
        <x:v>Yes</x:v>
      </x:c>
      <x:c r="M113" s="18" t="str">
        <x:f>IF(A113="","",A113&amp;"|"&amp;B113)</x:f>
      </x:c>
      <x:c r="N113" s="18"/>
    </x:row>
    <x:row r="114">
      <x:c r="A114" s="18"/>
      <x:c r="B114" s="18"/>
      <x:c r="C114" s="18"/>
      <x:c r="D114" s="19"/>
      <x:c r="E114" s="20"/>
      <x:c r="F114" s="20"/>
      <x:c r="G114" s="20" t="str">
        <x:f>IF(A114="","",IF(C114="Manual","Manual",MAX(0,IF(E114="",1,E114)-IF(OR(D114="",D114&lt;SWITCH(C114,"Daily",TODAY(),"Weekly",IFERROR(VLOOKUP(A114,'VIP Signups'!$A$5:$B$204,2,FALSE)+INT((TODAY()-VLOOKUP(A114,'VIP Signups'!$A$5:$B$204,2,FALSE))/7)*7,TODAY()),"Monthly",IFERROR(EDATE(VLOOKUP(A114,'VIP Signups'!$A$5:$B$204,2,FALSE),DATEDIF(VLOOKUP(A114,'VIP Signups'!$A$5:$B$204,2,FALSE),TODAY(),"M")),TODAY()),"Quarterly",IFERROR(EDATE(VLOOKUP(A114,'VIP Signups'!$A$5:$B$204,2,FALSE),INT(DATEDIF(VLOOKUP(A114,'VIP Signups'!$A$5:$B$204,2,FALSE),TODAY(),"M")/3)*3),TODAY()),"Yearly",IFERROR(EDATE(VLOOKUP(A114,'VIP Signups'!$A$5:$B$204,2,FALSE),DATEDIF(VLOOKUP(A114,'VIP Signups'!$A$5:$B$204,2,FALSE),TODAY(),"Y")*12),TODAY()),"One-time",IFERROR(VLOOKUP(A114,'VIP Signups'!$A$5:$B$204,2,FALSE),D114),"Manual",TODAY(),TODAY())),0,IF(F114="",0,F114)))))</x:f>
      </x:c>
      <x:c r="H114" s="19" t="str">
        <x:f>IF(A114="","",SWITCH(C114,"Daily",TODAY()+1,"Weekly",IFERROR(VLOOKUP(A114,'VIP Signups'!$A$5:$B$204,2,FALSE)+CEILING((TODAY()-VLOOKUP(A114,'VIP Signups'!$A$5:$B$204,2,FALSE)+1)/7,1)*7,D114+7),"Monthly",IFERROR(EDATE(VLOOKUP(A114,'VIP Signups'!$A$5:$B$204,2,FALSE),DATEDIF(VLOOKUP(A114,'VIP Signups'!$A$5:$B$204,2,FALSE),TODAY(),"M")+1),EDATE(D114,1)),"Quarterly",IFERROR(EDATE(VLOOKUP(A114,'VIP Signups'!$A$5:$B$204,2,FALSE),(INT(DATEDIF(VLOOKUP(A114,'VIP Signups'!$A$5:$B$204,2,FALSE),TODAY(),"M")/3)+1)*3),EDATE(D114,3)),"Yearly",IFERROR(EDATE(VLOOKUP(A114,'VIP Signups'!$A$5:$B$204,2,FALSE),(DATEDIF(VLOOKUP(A114,'VIP Signups'!$A$5:$B$204,2,FALSE),TODAY(),"Y")+1)*12),EDATE(D114,12)),"One-time","Used","Manual","Manual",""))</x:f>
      </x:c>
      <x:c r="I114" s="18" t="str">
        <x:f>IF(A114="","",IF(G114="Manual","Manual",IF(G114&gt;0,"Yes","No")))</x:f>
      </x:c>
      <x:c r="J114" s="18" t="str">
        <x:f>IF(A114="","",B114&amp;": "&amp;IF(I114="Yes","Available ("&amp;G114&amp;"/"&amp;IF(E114="",1,E114)&amp;" left)",IF(I114="Manual","Manual check",IF(ISNUMBER(H114),"0/"&amp;IF(E114="",1,E114)&amp;" left; resets "&amp;TEXT(H114,"yyyy-mm-dd"),"Used"))))</x:f>
      </x:c>
      <x:c r="K114" s="18"/>
      <x:c r="L114" s="18" t="str">
        <x:v>Yes</x:v>
      </x:c>
      <x:c r="M114" s="18" t="str">
        <x:f>IF(A114="","",A114&amp;"|"&amp;B114)</x:f>
      </x:c>
      <x:c r="N114" s="18"/>
    </x:row>
    <x:row r="115">
      <x:c r="A115" s="18"/>
      <x:c r="B115" s="18"/>
      <x:c r="C115" s="18"/>
      <x:c r="D115" s="19"/>
      <x:c r="E115" s="20"/>
      <x:c r="F115" s="20"/>
      <x:c r="G115" s="20" t="str">
        <x:f>IF(A115="","",IF(C115="Manual","Manual",MAX(0,IF(E115="",1,E115)-IF(OR(D115="",D115&lt;SWITCH(C115,"Daily",TODAY(),"Weekly",IFERROR(VLOOKUP(A115,'VIP Signups'!$A$5:$B$204,2,FALSE)+INT((TODAY()-VLOOKUP(A115,'VIP Signups'!$A$5:$B$204,2,FALSE))/7)*7,TODAY()),"Monthly",IFERROR(EDATE(VLOOKUP(A115,'VIP Signups'!$A$5:$B$204,2,FALSE),DATEDIF(VLOOKUP(A115,'VIP Signups'!$A$5:$B$204,2,FALSE),TODAY(),"M")),TODAY()),"Quarterly",IFERROR(EDATE(VLOOKUP(A115,'VIP Signups'!$A$5:$B$204,2,FALSE),INT(DATEDIF(VLOOKUP(A115,'VIP Signups'!$A$5:$B$204,2,FALSE),TODAY(),"M")/3)*3),TODAY()),"Yearly",IFERROR(EDATE(VLOOKUP(A115,'VIP Signups'!$A$5:$B$204,2,FALSE),DATEDIF(VLOOKUP(A115,'VIP Signups'!$A$5:$B$204,2,FALSE),TODAY(),"Y")*12),TODAY()),"One-time",IFERROR(VLOOKUP(A115,'VIP Signups'!$A$5:$B$204,2,FALSE),D115),"Manual",TODAY(),TODAY())),0,IF(F115="",0,F115)))))</x:f>
      </x:c>
      <x:c r="H115" s="19" t="str">
        <x:f>IF(A115="","",SWITCH(C115,"Daily",TODAY()+1,"Weekly",IFERROR(VLOOKUP(A115,'VIP Signups'!$A$5:$B$204,2,FALSE)+CEILING((TODAY()-VLOOKUP(A115,'VIP Signups'!$A$5:$B$204,2,FALSE)+1)/7,1)*7,D115+7),"Monthly",IFERROR(EDATE(VLOOKUP(A115,'VIP Signups'!$A$5:$B$204,2,FALSE),DATEDIF(VLOOKUP(A115,'VIP Signups'!$A$5:$B$204,2,FALSE),TODAY(),"M")+1),EDATE(D115,1)),"Quarterly",IFERROR(EDATE(VLOOKUP(A115,'VIP Signups'!$A$5:$B$204,2,FALSE),(INT(DATEDIF(VLOOKUP(A115,'VIP Signups'!$A$5:$B$204,2,FALSE),TODAY(),"M")/3)+1)*3),EDATE(D115,3)),"Yearly",IFERROR(EDATE(VLOOKUP(A115,'VIP Signups'!$A$5:$B$204,2,FALSE),(DATEDIF(VLOOKUP(A115,'VIP Signups'!$A$5:$B$204,2,FALSE),TODAY(),"Y")+1)*12),EDATE(D115,12)),"One-time","Used","Manual","Manual",""))</x:f>
      </x:c>
      <x:c r="I115" s="18" t="str">
        <x:f>IF(A115="","",IF(G115="Manual","Manual",IF(G115&gt;0,"Yes","No")))</x:f>
      </x:c>
      <x:c r="J115" s="18" t="str">
        <x:f>IF(A115="","",B115&amp;": "&amp;IF(I115="Yes","Available ("&amp;G115&amp;"/"&amp;IF(E115="",1,E115)&amp;" left)",IF(I115="Manual","Manual check",IF(ISNUMBER(H115),"0/"&amp;IF(E115="",1,E115)&amp;" left; resets "&amp;TEXT(H115,"yyyy-mm-dd"),"Used"))))</x:f>
      </x:c>
      <x:c r="K115" s="18"/>
      <x:c r="L115" s="18" t="str">
        <x:v>Yes</x:v>
      </x:c>
      <x:c r="M115" s="18" t="str">
        <x:f>IF(A115="","",A115&amp;"|"&amp;B115)</x:f>
      </x:c>
      <x:c r="N115" s="18"/>
    </x:row>
    <x:row r="116">
      <x:c r="A116" s="18"/>
      <x:c r="B116" s="18"/>
      <x:c r="C116" s="18"/>
      <x:c r="D116" s="19"/>
      <x:c r="E116" s="20"/>
      <x:c r="F116" s="20"/>
      <x:c r="G116" s="20" t="str">
        <x:f>IF(A116="","",IF(C116="Manual","Manual",MAX(0,IF(E116="",1,E116)-IF(OR(D116="",D116&lt;SWITCH(C116,"Daily",TODAY(),"Weekly",IFERROR(VLOOKUP(A116,'VIP Signups'!$A$5:$B$204,2,FALSE)+INT((TODAY()-VLOOKUP(A116,'VIP Signups'!$A$5:$B$204,2,FALSE))/7)*7,TODAY()),"Monthly",IFERROR(EDATE(VLOOKUP(A116,'VIP Signups'!$A$5:$B$204,2,FALSE),DATEDIF(VLOOKUP(A116,'VIP Signups'!$A$5:$B$204,2,FALSE),TODAY(),"M")),TODAY()),"Quarterly",IFERROR(EDATE(VLOOKUP(A116,'VIP Signups'!$A$5:$B$204,2,FALSE),INT(DATEDIF(VLOOKUP(A116,'VIP Signups'!$A$5:$B$204,2,FALSE),TODAY(),"M")/3)*3),TODAY()),"Yearly",IFERROR(EDATE(VLOOKUP(A116,'VIP Signups'!$A$5:$B$204,2,FALSE),DATEDIF(VLOOKUP(A116,'VIP Signups'!$A$5:$B$204,2,FALSE),TODAY(),"Y")*12),TODAY()),"One-time",IFERROR(VLOOKUP(A116,'VIP Signups'!$A$5:$B$204,2,FALSE),D116),"Manual",TODAY(),TODAY())),0,IF(F116="",0,F116)))))</x:f>
      </x:c>
      <x:c r="H116" s="19" t="str">
        <x:f>IF(A116="","",SWITCH(C116,"Daily",TODAY()+1,"Weekly",IFERROR(VLOOKUP(A116,'VIP Signups'!$A$5:$B$204,2,FALSE)+CEILING((TODAY()-VLOOKUP(A116,'VIP Signups'!$A$5:$B$204,2,FALSE)+1)/7,1)*7,D116+7),"Monthly",IFERROR(EDATE(VLOOKUP(A116,'VIP Signups'!$A$5:$B$204,2,FALSE),DATEDIF(VLOOKUP(A116,'VIP Signups'!$A$5:$B$204,2,FALSE),TODAY(),"M")+1),EDATE(D116,1)),"Quarterly",IFERROR(EDATE(VLOOKUP(A116,'VIP Signups'!$A$5:$B$204,2,FALSE),(INT(DATEDIF(VLOOKUP(A116,'VIP Signups'!$A$5:$B$204,2,FALSE),TODAY(),"M")/3)+1)*3),EDATE(D116,3)),"Yearly",IFERROR(EDATE(VLOOKUP(A116,'VIP Signups'!$A$5:$B$204,2,FALSE),(DATEDIF(VLOOKUP(A116,'VIP Signups'!$A$5:$B$204,2,FALSE),TODAY(),"Y")+1)*12),EDATE(D116,12)),"One-time","Used","Manual","Manual",""))</x:f>
      </x:c>
      <x:c r="I116" s="18" t="str">
        <x:f>IF(A116="","",IF(G116="Manual","Manual",IF(G116&gt;0,"Yes","No")))</x:f>
      </x:c>
      <x:c r="J116" s="18" t="str">
        <x:f>IF(A116="","",B116&amp;": "&amp;IF(I116="Yes","Available ("&amp;G116&amp;"/"&amp;IF(E116="",1,E116)&amp;" left)",IF(I116="Manual","Manual check",IF(ISNUMBER(H116),"0/"&amp;IF(E116="",1,E116)&amp;" left; resets "&amp;TEXT(H116,"yyyy-mm-dd"),"Used"))))</x:f>
      </x:c>
      <x:c r="K116" s="18"/>
      <x:c r="L116" s="18" t="str">
        <x:v>Yes</x:v>
      </x:c>
      <x:c r="M116" s="18" t="str">
        <x:f>IF(A116="","",A116&amp;"|"&amp;B116)</x:f>
      </x:c>
      <x:c r="N116" s="18"/>
    </x:row>
    <x:row r="117">
      <x:c r="A117" s="18"/>
      <x:c r="B117" s="18"/>
      <x:c r="C117" s="18"/>
      <x:c r="D117" s="19"/>
      <x:c r="E117" s="20"/>
      <x:c r="F117" s="20"/>
      <x:c r="G117" s="20" t="str">
        <x:f>IF(A117="","",IF(C117="Manual","Manual",MAX(0,IF(E117="",1,E117)-IF(OR(D117="",D117&lt;SWITCH(C117,"Daily",TODAY(),"Weekly",IFERROR(VLOOKUP(A117,'VIP Signups'!$A$5:$B$204,2,FALSE)+INT((TODAY()-VLOOKUP(A117,'VIP Signups'!$A$5:$B$204,2,FALSE))/7)*7,TODAY()),"Monthly",IFERROR(EDATE(VLOOKUP(A117,'VIP Signups'!$A$5:$B$204,2,FALSE),DATEDIF(VLOOKUP(A117,'VIP Signups'!$A$5:$B$204,2,FALSE),TODAY(),"M")),TODAY()),"Quarterly",IFERROR(EDATE(VLOOKUP(A117,'VIP Signups'!$A$5:$B$204,2,FALSE),INT(DATEDIF(VLOOKUP(A117,'VIP Signups'!$A$5:$B$204,2,FALSE),TODAY(),"M")/3)*3),TODAY()),"Yearly",IFERROR(EDATE(VLOOKUP(A117,'VIP Signups'!$A$5:$B$204,2,FALSE),DATEDIF(VLOOKUP(A117,'VIP Signups'!$A$5:$B$204,2,FALSE),TODAY(),"Y")*12),TODAY()),"One-time",IFERROR(VLOOKUP(A117,'VIP Signups'!$A$5:$B$204,2,FALSE),D117),"Manual",TODAY(),TODAY())),0,IF(F117="",0,F117)))))</x:f>
      </x:c>
      <x:c r="H117" s="19" t="str">
        <x:f>IF(A117="","",SWITCH(C117,"Daily",TODAY()+1,"Weekly",IFERROR(VLOOKUP(A117,'VIP Signups'!$A$5:$B$204,2,FALSE)+CEILING((TODAY()-VLOOKUP(A117,'VIP Signups'!$A$5:$B$204,2,FALSE)+1)/7,1)*7,D117+7),"Monthly",IFERROR(EDATE(VLOOKUP(A117,'VIP Signups'!$A$5:$B$204,2,FALSE),DATEDIF(VLOOKUP(A117,'VIP Signups'!$A$5:$B$204,2,FALSE),TODAY(),"M")+1),EDATE(D117,1)),"Quarterly",IFERROR(EDATE(VLOOKUP(A117,'VIP Signups'!$A$5:$B$204,2,FALSE),(INT(DATEDIF(VLOOKUP(A117,'VIP Signups'!$A$5:$B$204,2,FALSE),TODAY(),"M")/3)+1)*3),EDATE(D117,3)),"Yearly",IFERROR(EDATE(VLOOKUP(A117,'VIP Signups'!$A$5:$B$204,2,FALSE),(DATEDIF(VLOOKUP(A117,'VIP Signups'!$A$5:$B$204,2,FALSE),TODAY(),"Y")+1)*12),EDATE(D117,12)),"One-time","Used","Manual","Manual",""))</x:f>
      </x:c>
      <x:c r="I117" s="18" t="str">
        <x:f>IF(A117="","",IF(G117="Manual","Manual",IF(G117&gt;0,"Yes","No")))</x:f>
      </x:c>
      <x:c r="J117" s="18" t="str">
        <x:f>IF(A117="","",B117&amp;": "&amp;IF(I117="Yes","Available ("&amp;G117&amp;"/"&amp;IF(E117="",1,E117)&amp;" left)",IF(I117="Manual","Manual check",IF(ISNUMBER(H117),"0/"&amp;IF(E117="",1,E117)&amp;" left; resets "&amp;TEXT(H117,"yyyy-mm-dd"),"Used"))))</x:f>
      </x:c>
      <x:c r="K117" s="18"/>
      <x:c r="L117" s="18" t="str">
        <x:v>Yes</x:v>
      </x:c>
      <x:c r="M117" s="18" t="str">
        <x:f>IF(A117="","",A117&amp;"|"&amp;B117)</x:f>
      </x:c>
      <x:c r="N117" s="18"/>
    </x:row>
    <x:row r="118">
      <x:c r="A118" s="18"/>
      <x:c r="B118" s="18"/>
      <x:c r="C118" s="18"/>
      <x:c r="D118" s="19"/>
      <x:c r="E118" s="20"/>
      <x:c r="F118" s="20"/>
      <x:c r="G118" s="20" t="str">
        <x:f>IF(A118="","",IF(C118="Manual","Manual",MAX(0,IF(E118="",1,E118)-IF(OR(D118="",D118&lt;SWITCH(C118,"Daily",TODAY(),"Weekly",IFERROR(VLOOKUP(A118,'VIP Signups'!$A$5:$B$204,2,FALSE)+INT((TODAY()-VLOOKUP(A118,'VIP Signups'!$A$5:$B$204,2,FALSE))/7)*7,TODAY()),"Monthly",IFERROR(EDATE(VLOOKUP(A118,'VIP Signups'!$A$5:$B$204,2,FALSE),DATEDIF(VLOOKUP(A118,'VIP Signups'!$A$5:$B$204,2,FALSE),TODAY(),"M")),TODAY()),"Quarterly",IFERROR(EDATE(VLOOKUP(A118,'VIP Signups'!$A$5:$B$204,2,FALSE),INT(DATEDIF(VLOOKUP(A118,'VIP Signups'!$A$5:$B$204,2,FALSE),TODAY(),"M")/3)*3),TODAY()),"Yearly",IFERROR(EDATE(VLOOKUP(A118,'VIP Signups'!$A$5:$B$204,2,FALSE),DATEDIF(VLOOKUP(A118,'VIP Signups'!$A$5:$B$204,2,FALSE),TODAY(),"Y")*12),TODAY()),"One-time",IFERROR(VLOOKUP(A118,'VIP Signups'!$A$5:$B$204,2,FALSE),D118),"Manual",TODAY(),TODAY())),0,IF(F118="",0,F118)))))</x:f>
      </x:c>
      <x:c r="H118" s="19" t="str">
        <x:f>IF(A118="","",SWITCH(C118,"Daily",TODAY()+1,"Weekly",IFERROR(VLOOKUP(A118,'VIP Signups'!$A$5:$B$204,2,FALSE)+CEILING((TODAY()-VLOOKUP(A118,'VIP Signups'!$A$5:$B$204,2,FALSE)+1)/7,1)*7,D118+7),"Monthly",IFERROR(EDATE(VLOOKUP(A118,'VIP Signups'!$A$5:$B$204,2,FALSE),DATEDIF(VLOOKUP(A118,'VIP Signups'!$A$5:$B$204,2,FALSE),TODAY(),"M")+1),EDATE(D118,1)),"Quarterly",IFERROR(EDATE(VLOOKUP(A118,'VIP Signups'!$A$5:$B$204,2,FALSE),(INT(DATEDIF(VLOOKUP(A118,'VIP Signups'!$A$5:$B$204,2,FALSE),TODAY(),"M")/3)+1)*3),EDATE(D118,3)),"Yearly",IFERROR(EDATE(VLOOKUP(A118,'VIP Signups'!$A$5:$B$204,2,FALSE),(DATEDIF(VLOOKUP(A118,'VIP Signups'!$A$5:$B$204,2,FALSE),TODAY(),"Y")+1)*12),EDATE(D118,12)),"One-time","Used","Manual","Manual",""))</x:f>
      </x:c>
      <x:c r="I118" s="18" t="str">
        <x:f>IF(A118="","",IF(G118="Manual","Manual",IF(G118&gt;0,"Yes","No")))</x:f>
      </x:c>
      <x:c r="J118" s="18" t="str">
        <x:f>IF(A118="","",B118&amp;": "&amp;IF(I118="Yes","Available ("&amp;G118&amp;"/"&amp;IF(E118="",1,E118)&amp;" left)",IF(I118="Manual","Manual check",IF(ISNUMBER(H118),"0/"&amp;IF(E118="",1,E118)&amp;" left; resets "&amp;TEXT(H118,"yyyy-mm-dd"),"Used"))))</x:f>
      </x:c>
      <x:c r="K118" s="18"/>
      <x:c r="L118" s="18" t="str">
        <x:v>Yes</x:v>
      </x:c>
      <x:c r="M118" s="18" t="str">
        <x:f>IF(A118="","",A118&amp;"|"&amp;B118)</x:f>
      </x:c>
      <x:c r="N118" s="18"/>
    </x:row>
    <x:row r="119">
      <x:c r="A119" s="18"/>
      <x:c r="B119" s="18"/>
      <x:c r="C119" s="18"/>
      <x:c r="D119" s="19"/>
      <x:c r="E119" s="20"/>
      <x:c r="F119" s="20"/>
      <x:c r="G119" s="20" t="str">
        <x:f>IF(A119="","",IF(C119="Manual","Manual",MAX(0,IF(E119="",1,E119)-IF(OR(D119="",D119&lt;SWITCH(C119,"Daily",TODAY(),"Weekly",IFERROR(VLOOKUP(A119,'VIP Signups'!$A$5:$B$204,2,FALSE)+INT((TODAY()-VLOOKUP(A119,'VIP Signups'!$A$5:$B$204,2,FALSE))/7)*7,TODAY()),"Monthly",IFERROR(EDATE(VLOOKUP(A119,'VIP Signups'!$A$5:$B$204,2,FALSE),DATEDIF(VLOOKUP(A119,'VIP Signups'!$A$5:$B$204,2,FALSE),TODAY(),"M")),TODAY()),"Quarterly",IFERROR(EDATE(VLOOKUP(A119,'VIP Signups'!$A$5:$B$204,2,FALSE),INT(DATEDIF(VLOOKUP(A119,'VIP Signups'!$A$5:$B$204,2,FALSE),TODAY(),"M")/3)*3),TODAY()),"Yearly",IFERROR(EDATE(VLOOKUP(A119,'VIP Signups'!$A$5:$B$204,2,FALSE),DATEDIF(VLOOKUP(A119,'VIP Signups'!$A$5:$B$204,2,FALSE),TODAY(),"Y")*12),TODAY()),"One-time",IFERROR(VLOOKUP(A119,'VIP Signups'!$A$5:$B$204,2,FALSE),D119),"Manual",TODAY(),TODAY())),0,IF(F119="",0,F119)))))</x:f>
      </x:c>
      <x:c r="H119" s="19" t="str">
        <x:f>IF(A119="","",SWITCH(C119,"Daily",TODAY()+1,"Weekly",IFERROR(VLOOKUP(A119,'VIP Signups'!$A$5:$B$204,2,FALSE)+CEILING((TODAY()-VLOOKUP(A119,'VIP Signups'!$A$5:$B$204,2,FALSE)+1)/7,1)*7,D119+7),"Monthly",IFERROR(EDATE(VLOOKUP(A119,'VIP Signups'!$A$5:$B$204,2,FALSE),DATEDIF(VLOOKUP(A119,'VIP Signups'!$A$5:$B$204,2,FALSE),TODAY(),"M")+1),EDATE(D119,1)),"Quarterly",IFERROR(EDATE(VLOOKUP(A119,'VIP Signups'!$A$5:$B$204,2,FALSE),(INT(DATEDIF(VLOOKUP(A119,'VIP Signups'!$A$5:$B$204,2,FALSE),TODAY(),"M")/3)+1)*3),EDATE(D119,3)),"Yearly",IFERROR(EDATE(VLOOKUP(A119,'VIP Signups'!$A$5:$B$204,2,FALSE),(DATEDIF(VLOOKUP(A119,'VIP Signups'!$A$5:$B$204,2,FALSE),TODAY(),"Y")+1)*12),EDATE(D119,12)),"One-time","Used","Manual","Manual",""))</x:f>
      </x:c>
      <x:c r="I119" s="18" t="str">
        <x:f>IF(A119="","",IF(G119="Manual","Manual",IF(G119&gt;0,"Yes","No")))</x:f>
      </x:c>
      <x:c r="J119" s="18" t="str">
        <x:f>IF(A119="","",B119&amp;": "&amp;IF(I119="Yes","Available ("&amp;G119&amp;"/"&amp;IF(E119="",1,E119)&amp;" left)",IF(I119="Manual","Manual check",IF(ISNUMBER(H119),"0/"&amp;IF(E119="",1,E119)&amp;" left; resets "&amp;TEXT(H119,"yyyy-mm-dd"),"Used"))))</x:f>
      </x:c>
      <x:c r="K119" s="18"/>
      <x:c r="L119" s="18" t="str">
        <x:v>Yes</x:v>
      </x:c>
      <x:c r="M119" s="18" t="str">
        <x:f>IF(A119="","",A119&amp;"|"&amp;B119)</x:f>
      </x:c>
      <x:c r="N119" s="18"/>
    </x:row>
    <x:row r="120">
      <x:c r="A120" s="18"/>
      <x:c r="B120" s="18"/>
      <x:c r="C120" s="18"/>
      <x:c r="D120" s="19"/>
      <x:c r="E120" s="20"/>
      <x:c r="F120" s="20"/>
      <x:c r="G120" s="20" t="str">
        <x:f>IF(A120="","",IF(C120="Manual","Manual",MAX(0,IF(E120="",1,E120)-IF(OR(D120="",D120&lt;SWITCH(C120,"Daily",TODAY(),"Weekly",IFERROR(VLOOKUP(A120,'VIP Signups'!$A$5:$B$204,2,FALSE)+INT((TODAY()-VLOOKUP(A120,'VIP Signups'!$A$5:$B$204,2,FALSE))/7)*7,TODAY()),"Monthly",IFERROR(EDATE(VLOOKUP(A120,'VIP Signups'!$A$5:$B$204,2,FALSE),DATEDIF(VLOOKUP(A120,'VIP Signups'!$A$5:$B$204,2,FALSE),TODAY(),"M")),TODAY()),"Quarterly",IFERROR(EDATE(VLOOKUP(A120,'VIP Signups'!$A$5:$B$204,2,FALSE),INT(DATEDIF(VLOOKUP(A120,'VIP Signups'!$A$5:$B$204,2,FALSE),TODAY(),"M")/3)*3),TODAY()),"Yearly",IFERROR(EDATE(VLOOKUP(A120,'VIP Signups'!$A$5:$B$204,2,FALSE),DATEDIF(VLOOKUP(A120,'VIP Signups'!$A$5:$B$204,2,FALSE),TODAY(),"Y")*12),TODAY()),"One-time",IFERROR(VLOOKUP(A120,'VIP Signups'!$A$5:$B$204,2,FALSE),D120),"Manual",TODAY(),TODAY())),0,IF(F120="",0,F120)))))</x:f>
      </x:c>
      <x:c r="H120" s="19" t="str">
        <x:f>IF(A120="","",SWITCH(C120,"Daily",TODAY()+1,"Weekly",IFERROR(VLOOKUP(A120,'VIP Signups'!$A$5:$B$204,2,FALSE)+CEILING((TODAY()-VLOOKUP(A120,'VIP Signups'!$A$5:$B$204,2,FALSE)+1)/7,1)*7,D120+7),"Monthly",IFERROR(EDATE(VLOOKUP(A120,'VIP Signups'!$A$5:$B$204,2,FALSE),DATEDIF(VLOOKUP(A120,'VIP Signups'!$A$5:$B$204,2,FALSE),TODAY(),"M")+1),EDATE(D120,1)),"Quarterly",IFERROR(EDATE(VLOOKUP(A120,'VIP Signups'!$A$5:$B$204,2,FALSE),(INT(DATEDIF(VLOOKUP(A120,'VIP Signups'!$A$5:$B$204,2,FALSE),TODAY(),"M")/3)+1)*3),EDATE(D120,3)),"Yearly",IFERROR(EDATE(VLOOKUP(A120,'VIP Signups'!$A$5:$B$204,2,FALSE),(DATEDIF(VLOOKUP(A120,'VIP Signups'!$A$5:$B$204,2,FALSE),TODAY(),"Y")+1)*12),EDATE(D120,12)),"One-time","Used","Manual","Manual",""))</x:f>
      </x:c>
      <x:c r="I120" s="18" t="str">
        <x:f>IF(A120="","",IF(G120="Manual","Manual",IF(G120&gt;0,"Yes","No")))</x:f>
      </x:c>
      <x:c r="J120" s="18" t="str">
        <x:f>IF(A120="","",B120&amp;": "&amp;IF(I120="Yes","Available ("&amp;G120&amp;"/"&amp;IF(E120="",1,E120)&amp;" left)",IF(I120="Manual","Manual check",IF(ISNUMBER(H120),"0/"&amp;IF(E120="",1,E120)&amp;" left; resets "&amp;TEXT(H120,"yyyy-mm-dd"),"Used"))))</x:f>
      </x:c>
      <x:c r="K120" s="18"/>
      <x:c r="L120" s="18" t="str">
        <x:v>Yes</x:v>
      </x:c>
      <x:c r="M120" s="18" t="str">
        <x:f>IF(A120="","",A120&amp;"|"&amp;B120)</x:f>
      </x:c>
      <x:c r="N120" s="18"/>
    </x:row>
    <x:row r="121">
      <x:c r="A121" s="18"/>
      <x:c r="B121" s="18"/>
      <x:c r="C121" s="18"/>
      <x:c r="D121" s="19"/>
      <x:c r="E121" s="20"/>
      <x:c r="F121" s="20"/>
      <x:c r="G121" s="20" t="str">
        <x:f>IF(A121="","",IF(C121="Manual","Manual",MAX(0,IF(E121="",1,E121)-IF(OR(D121="",D121&lt;SWITCH(C121,"Daily",TODAY(),"Weekly",IFERROR(VLOOKUP(A121,'VIP Signups'!$A$5:$B$204,2,FALSE)+INT((TODAY()-VLOOKUP(A121,'VIP Signups'!$A$5:$B$204,2,FALSE))/7)*7,TODAY()),"Monthly",IFERROR(EDATE(VLOOKUP(A121,'VIP Signups'!$A$5:$B$204,2,FALSE),DATEDIF(VLOOKUP(A121,'VIP Signups'!$A$5:$B$204,2,FALSE),TODAY(),"M")),TODAY()),"Quarterly",IFERROR(EDATE(VLOOKUP(A121,'VIP Signups'!$A$5:$B$204,2,FALSE),INT(DATEDIF(VLOOKUP(A121,'VIP Signups'!$A$5:$B$204,2,FALSE),TODAY(),"M")/3)*3),TODAY()),"Yearly",IFERROR(EDATE(VLOOKUP(A121,'VIP Signups'!$A$5:$B$204,2,FALSE),DATEDIF(VLOOKUP(A121,'VIP Signups'!$A$5:$B$204,2,FALSE),TODAY(),"Y")*12),TODAY()),"One-time",IFERROR(VLOOKUP(A121,'VIP Signups'!$A$5:$B$204,2,FALSE),D121),"Manual",TODAY(),TODAY())),0,IF(F121="",0,F121)))))</x:f>
      </x:c>
      <x:c r="H121" s="19" t="str">
        <x:f>IF(A121="","",SWITCH(C121,"Daily",TODAY()+1,"Weekly",IFERROR(VLOOKUP(A121,'VIP Signups'!$A$5:$B$204,2,FALSE)+CEILING((TODAY()-VLOOKUP(A121,'VIP Signups'!$A$5:$B$204,2,FALSE)+1)/7,1)*7,D121+7),"Monthly",IFERROR(EDATE(VLOOKUP(A121,'VIP Signups'!$A$5:$B$204,2,FALSE),DATEDIF(VLOOKUP(A121,'VIP Signups'!$A$5:$B$204,2,FALSE),TODAY(),"M")+1),EDATE(D121,1)),"Quarterly",IFERROR(EDATE(VLOOKUP(A121,'VIP Signups'!$A$5:$B$204,2,FALSE),(INT(DATEDIF(VLOOKUP(A121,'VIP Signups'!$A$5:$B$204,2,FALSE),TODAY(),"M")/3)+1)*3),EDATE(D121,3)),"Yearly",IFERROR(EDATE(VLOOKUP(A121,'VIP Signups'!$A$5:$B$204,2,FALSE),(DATEDIF(VLOOKUP(A121,'VIP Signups'!$A$5:$B$204,2,FALSE),TODAY(),"Y")+1)*12),EDATE(D121,12)),"One-time","Used","Manual","Manual",""))</x:f>
      </x:c>
      <x:c r="I121" s="18" t="str">
        <x:f>IF(A121="","",IF(G121="Manual","Manual",IF(G121&gt;0,"Yes","No")))</x:f>
      </x:c>
      <x:c r="J121" s="18" t="str">
        <x:f>IF(A121="","",B121&amp;": "&amp;IF(I121="Yes","Available ("&amp;G121&amp;"/"&amp;IF(E121="",1,E121)&amp;" left)",IF(I121="Manual","Manual check",IF(ISNUMBER(H121),"0/"&amp;IF(E121="",1,E121)&amp;" left; resets "&amp;TEXT(H121,"yyyy-mm-dd"),"Used"))))</x:f>
      </x:c>
      <x:c r="K121" s="18"/>
      <x:c r="L121" s="18" t="str">
        <x:v>Yes</x:v>
      </x:c>
      <x:c r="M121" s="18" t="str">
        <x:f>IF(A121="","",A121&amp;"|"&amp;B121)</x:f>
      </x:c>
      <x:c r="N121" s="18"/>
    </x:row>
    <x:row r="122">
      <x:c r="A122" s="18"/>
      <x:c r="B122" s="18"/>
      <x:c r="C122" s="18"/>
      <x:c r="D122" s="19"/>
      <x:c r="E122" s="20"/>
      <x:c r="F122" s="20"/>
      <x:c r="G122" s="20" t="str">
        <x:f>IF(A122="","",IF(C122="Manual","Manual",MAX(0,IF(E122="",1,E122)-IF(OR(D122="",D122&lt;SWITCH(C122,"Daily",TODAY(),"Weekly",IFERROR(VLOOKUP(A122,'VIP Signups'!$A$5:$B$204,2,FALSE)+INT((TODAY()-VLOOKUP(A122,'VIP Signups'!$A$5:$B$204,2,FALSE))/7)*7,TODAY()),"Monthly",IFERROR(EDATE(VLOOKUP(A122,'VIP Signups'!$A$5:$B$204,2,FALSE),DATEDIF(VLOOKUP(A122,'VIP Signups'!$A$5:$B$204,2,FALSE),TODAY(),"M")),TODAY()),"Quarterly",IFERROR(EDATE(VLOOKUP(A122,'VIP Signups'!$A$5:$B$204,2,FALSE),INT(DATEDIF(VLOOKUP(A122,'VIP Signups'!$A$5:$B$204,2,FALSE),TODAY(),"M")/3)*3),TODAY()),"Yearly",IFERROR(EDATE(VLOOKUP(A122,'VIP Signups'!$A$5:$B$204,2,FALSE),DATEDIF(VLOOKUP(A122,'VIP Signups'!$A$5:$B$204,2,FALSE),TODAY(),"Y")*12),TODAY()),"One-time",IFERROR(VLOOKUP(A122,'VIP Signups'!$A$5:$B$204,2,FALSE),D122),"Manual",TODAY(),TODAY())),0,IF(F122="",0,F122)))))</x:f>
      </x:c>
      <x:c r="H122" s="19" t="str">
        <x:f>IF(A122="","",SWITCH(C122,"Daily",TODAY()+1,"Weekly",IFERROR(VLOOKUP(A122,'VIP Signups'!$A$5:$B$204,2,FALSE)+CEILING((TODAY()-VLOOKUP(A122,'VIP Signups'!$A$5:$B$204,2,FALSE)+1)/7,1)*7,D122+7),"Monthly",IFERROR(EDATE(VLOOKUP(A122,'VIP Signups'!$A$5:$B$204,2,FALSE),DATEDIF(VLOOKUP(A122,'VIP Signups'!$A$5:$B$204,2,FALSE),TODAY(),"M")+1),EDATE(D122,1)),"Quarterly",IFERROR(EDATE(VLOOKUP(A122,'VIP Signups'!$A$5:$B$204,2,FALSE),(INT(DATEDIF(VLOOKUP(A122,'VIP Signups'!$A$5:$B$204,2,FALSE),TODAY(),"M")/3)+1)*3),EDATE(D122,3)),"Yearly",IFERROR(EDATE(VLOOKUP(A122,'VIP Signups'!$A$5:$B$204,2,FALSE),(DATEDIF(VLOOKUP(A122,'VIP Signups'!$A$5:$B$204,2,FALSE),TODAY(),"Y")+1)*12),EDATE(D122,12)),"One-time","Used","Manual","Manual",""))</x:f>
      </x:c>
      <x:c r="I122" s="18" t="str">
        <x:f>IF(A122="","",IF(G122="Manual","Manual",IF(G122&gt;0,"Yes","No")))</x:f>
      </x:c>
      <x:c r="J122" s="18" t="str">
        <x:f>IF(A122="","",B122&amp;": "&amp;IF(I122="Yes","Available ("&amp;G122&amp;"/"&amp;IF(E122="",1,E122)&amp;" left)",IF(I122="Manual","Manual check",IF(ISNUMBER(H122),"0/"&amp;IF(E122="",1,E122)&amp;" left; resets "&amp;TEXT(H122,"yyyy-mm-dd"),"Used"))))</x:f>
      </x:c>
      <x:c r="K122" s="18"/>
      <x:c r="L122" s="18" t="str">
        <x:v>Yes</x:v>
      </x:c>
      <x:c r="M122" s="18" t="str">
        <x:f>IF(A122="","",A122&amp;"|"&amp;B122)</x:f>
      </x:c>
      <x:c r="N122" s="18"/>
    </x:row>
    <x:row r="123">
      <x:c r="A123" s="18"/>
      <x:c r="B123" s="18"/>
      <x:c r="C123" s="18"/>
      <x:c r="D123" s="19"/>
      <x:c r="E123" s="20"/>
      <x:c r="F123" s="20"/>
      <x:c r="G123" s="20" t="str">
        <x:f>IF(A123="","",IF(C123="Manual","Manual",MAX(0,IF(E123="",1,E123)-IF(OR(D123="",D123&lt;SWITCH(C123,"Daily",TODAY(),"Weekly",IFERROR(VLOOKUP(A123,'VIP Signups'!$A$5:$B$204,2,FALSE)+INT((TODAY()-VLOOKUP(A123,'VIP Signups'!$A$5:$B$204,2,FALSE))/7)*7,TODAY()),"Monthly",IFERROR(EDATE(VLOOKUP(A123,'VIP Signups'!$A$5:$B$204,2,FALSE),DATEDIF(VLOOKUP(A123,'VIP Signups'!$A$5:$B$204,2,FALSE),TODAY(),"M")),TODAY()),"Quarterly",IFERROR(EDATE(VLOOKUP(A123,'VIP Signups'!$A$5:$B$204,2,FALSE),INT(DATEDIF(VLOOKUP(A123,'VIP Signups'!$A$5:$B$204,2,FALSE),TODAY(),"M")/3)*3),TODAY()),"Yearly",IFERROR(EDATE(VLOOKUP(A123,'VIP Signups'!$A$5:$B$204,2,FALSE),DATEDIF(VLOOKUP(A123,'VIP Signups'!$A$5:$B$204,2,FALSE),TODAY(),"Y")*12),TODAY()),"One-time",IFERROR(VLOOKUP(A123,'VIP Signups'!$A$5:$B$204,2,FALSE),D123),"Manual",TODAY(),TODAY())),0,IF(F123="",0,F123)))))</x:f>
      </x:c>
      <x:c r="H123" s="19" t="str">
        <x:f>IF(A123="","",SWITCH(C123,"Daily",TODAY()+1,"Weekly",IFERROR(VLOOKUP(A123,'VIP Signups'!$A$5:$B$204,2,FALSE)+CEILING((TODAY()-VLOOKUP(A123,'VIP Signups'!$A$5:$B$204,2,FALSE)+1)/7,1)*7,D123+7),"Monthly",IFERROR(EDATE(VLOOKUP(A123,'VIP Signups'!$A$5:$B$204,2,FALSE),DATEDIF(VLOOKUP(A123,'VIP Signups'!$A$5:$B$204,2,FALSE),TODAY(),"M")+1),EDATE(D123,1)),"Quarterly",IFERROR(EDATE(VLOOKUP(A123,'VIP Signups'!$A$5:$B$204,2,FALSE),(INT(DATEDIF(VLOOKUP(A123,'VIP Signups'!$A$5:$B$204,2,FALSE),TODAY(),"M")/3)+1)*3),EDATE(D123,3)),"Yearly",IFERROR(EDATE(VLOOKUP(A123,'VIP Signups'!$A$5:$B$204,2,FALSE),(DATEDIF(VLOOKUP(A123,'VIP Signups'!$A$5:$B$204,2,FALSE),TODAY(),"Y")+1)*12),EDATE(D123,12)),"One-time","Used","Manual","Manual",""))</x:f>
      </x:c>
      <x:c r="I123" s="18" t="str">
        <x:f>IF(A123="","",IF(G123="Manual","Manual",IF(G123&gt;0,"Yes","No")))</x:f>
      </x:c>
      <x:c r="J123" s="18" t="str">
        <x:f>IF(A123="","",B123&amp;": "&amp;IF(I123="Yes","Available ("&amp;G123&amp;"/"&amp;IF(E123="",1,E123)&amp;" left)",IF(I123="Manual","Manual check",IF(ISNUMBER(H123),"0/"&amp;IF(E123="",1,E123)&amp;" left; resets "&amp;TEXT(H123,"yyyy-mm-dd"),"Used"))))</x:f>
      </x:c>
      <x:c r="K123" s="18"/>
      <x:c r="L123" s="18" t="str">
        <x:v>Yes</x:v>
      </x:c>
      <x:c r="M123" s="18" t="str">
        <x:f>IF(A123="","",A123&amp;"|"&amp;B123)</x:f>
      </x:c>
      <x:c r="N123" s="18"/>
    </x:row>
    <x:row r="124">
      <x:c r="A124" s="18"/>
      <x:c r="B124" s="18"/>
      <x:c r="C124" s="18"/>
      <x:c r="D124" s="19"/>
      <x:c r="E124" s="20"/>
      <x:c r="F124" s="20"/>
      <x:c r="G124" s="20" t="str">
        <x:f>IF(A124="","",IF(C124="Manual","Manual",MAX(0,IF(E124="",1,E124)-IF(OR(D124="",D124&lt;SWITCH(C124,"Daily",TODAY(),"Weekly",IFERROR(VLOOKUP(A124,'VIP Signups'!$A$5:$B$204,2,FALSE)+INT((TODAY()-VLOOKUP(A124,'VIP Signups'!$A$5:$B$204,2,FALSE))/7)*7,TODAY()),"Monthly",IFERROR(EDATE(VLOOKUP(A124,'VIP Signups'!$A$5:$B$204,2,FALSE),DATEDIF(VLOOKUP(A124,'VIP Signups'!$A$5:$B$204,2,FALSE),TODAY(),"M")),TODAY()),"Quarterly",IFERROR(EDATE(VLOOKUP(A124,'VIP Signups'!$A$5:$B$204,2,FALSE),INT(DATEDIF(VLOOKUP(A124,'VIP Signups'!$A$5:$B$204,2,FALSE),TODAY(),"M")/3)*3),TODAY()),"Yearly",IFERROR(EDATE(VLOOKUP(A124,'VIP Signups'!$A$5:$B$204,2,FALSE),DATEDIF(VLOOKUP(A124,'VIP Signups'!$A$5:$B$204,2,FALSE),TODAY(),"Y")*12),TODAY()),"One-time",IFERROR(VLOOKUP(A124,'VIP Signups'!$A$5:$B$204,2,FALSE),D124),"Manual",TODAY(),TODAY())),0,IF(F124="",0,F124)))))</x:f>
      </x:c>
      <x:c r="H124" s="19" t="str">
        <x:f>IF(A124="","",SWITCH(C124,"Daily",TODAY()+1,"Weekly",IFERROR(VLOOKUP(A124,'VIP Signups'!$A$5:$B$204,2,FALSE)+CEILING((TODAY()-VLOOKUP(A124,'VIP Signups'!$A$5:$B$204,2,FALSE)+1)/7,1)*7,D124+7),"Monthly",IFERROR(EDATE(VLOOKUP(A124,'VIP Signups'!$A$5:$B$204,2,FALSE),DATEDIF(VLOOKUP(A124,'VIP Signups'!$A$5:$B$204,2,FALSE),TODAY(),"M")+1),EDATE(D124,1)),"Quarterly",IFERROR(EDATE(VLOOKUP(A124,'VIP Signups'!$A$5:$B$204,2,FALSE),(INT(DATEDIF(VLOOKUP(A124,'VIP Signups'!$A$5:$B$204,2,FALSE),TODAY(),"M")/3)+1)*3),EDATE(D124,3)),"Yearly",IFERROR(EDATE(VLOOKUP(A124,'VIP Signups'!$A$5:$B$204,2,FALSE),(DATEDIF(VLOOKUP(A124,'VIP Signups'!$A$5:$B$204,2,FALSE),TODAY(),"Y")+1)*12),EDATE(D124,12)),"One-time","Used","Manual","Manual",""))</x:f>
      </x:c>
      <x:c r="I124" s="18" t="str">
        <x:f>IF(A124="","",IF(G124="Manual","Manual",IF(G124&gt;0,"Yes","No")))</x:f>
      </x:c>
      <x:c r="J124" s="18" t="str">
        <x:f>IF(A124="","",B124&amp;": "&amp;IF(I124="Yes","Available ("&amp;G124&amp;"/"&amp;IF(E124="",1,E124)&amp;" left)",IF(I124="Manual","Manual check",IF(ISNUMBER(H124),"0/"&amp;IF(E124="",1,E124)&amp;" left; resets "&amp;TEXT(H124,"yyyy-mm-dd"),"Used"))))</x:f>
      </x:c>
      <x:c r="K124" s="18"/>
      <x:c r="L124" s="18" t="str">
        <x:v>Yes</x:v>
      </x:c>
      <x:c r="M124" s="18" t="str">
        <x:f>IF(A124="","",A124&amp;"|"&amp;B124)</x:f>
      </x:c>
      <x:c r="N124" s="18"/>
    </x:row>
    <x:row r="125">
      <x:c r="A125" s="18"/>
      <x:c r="B125" s="18"/>
      <x:c r="C125" s="18"/>
      <x:c r="D125" s="19"/>
      <x:c r="E125" s="20"/>
      <x:c r="F125" s="20"/>
      <x:c r="G125" s="20" t="str">
        <x:f>IF(A125="","",IF(C125="Manual","Manual",MAX(0,IF(E125="",1,E125)-IF(OR(D125="",D125&lt;SWITCH(C125,"Daily",TODAY(),"Weekly",IFERROR(VLOOKUP(A125,'VIP Signups'!$A$5:$B$204,2,FALSE)+INT((TODAY()-VLOOKUP(A125,'VIP Signups'!$A$5:$B$204,2,FALSE))/7)*7,TODAY()),"Monthly",IFERROR(EDATE(VLOOKUP(A125,'VIP Signups'!$A$5:$B$204,2,FALSE),DATEDIF(VLOOKUP(A125,'VIP Signups'!$A$5:$B$204,2,FALSE),TODAY(),"M")),TODAY()),"Quarterly",IFERROR(EDATE(VLOOKUP(A125,'VIP Signups'!$A$5:$B$204,2,FALSE),INT(DATEDIF(VLOOKUP(A125,'VIP Signups'!$A$5:$B$204,2,FALSE),TODAY(),"M")/3)*3),TODAY()),"Yearly",IFERROR(EDATE(VLOOKUP(A125,'VIP Signups'!$A$5:$B$204,2,FALSE),DATEDIF(VLOOKUP(A125,'VIP Signups'!$A$5:$B$204,2,FALSE),TODAY(),"Y")*12),TODAY()),"One-time",IFERROR(VLOOKUP(A125,'VIP Signups'!$A$5:$B$204,2,FALSE),D125),"Manual",TODAY(),TODAY())),0,IF(F125="",0,F125)))))</x:f>
      </x:c>
      <x:c r="H125" s="19" t="str">
        <x:f>IF(A125="","",SWITCH(C125,"Daily",TODAY()+1,"Weekly",IFERROR(VLOOKUP(A125,'VIP Signups'!$A$5:$B$204,2,FALSE)+CEILING((TODAY()-VLOOKUP(A125,'VIP Signups'!$A$5:$B$204,2,FALSE)+1)/7,1)*7,D125+7),"Monthly",IFERROR(EDATE(VLOOKUP(A125,'VIP Signups'!$A$5:$B$204,2,FALSE),DATEDIF(VLOOKUP(A125,'VIP Signups'!$A$5:$B$204,2,FALSE),TODAY(),"M")+1),EDATE(D125,1)),"Quarterly",IFERROR(EDATE(VLOOKUP(A125,'VIP Signups'!$A$5:$B$204,2,FALSE),(INT(DATEDIF(VLOOKUP(A125,'VIP Signups'!$A$5:$B$204,2,FALSE),TODAY(),"M")/3)+1)*3),EDATE(D125,3)),"Yearly",IFERROR(EDATE(VLOOKUP(A125,'VIP Signups'!$A$5:$B$204,2,FALSE),(DATEDIF(VLOOKUP(A125,'VIP Signups'!$A$5:$B$204,2,FALSE),TODAY(),"Y")+1)*12),EDATE(D125,12)),"One-time","Used","Manual","Manual",""))</x:f>
      </x:c>
      <x:c r="I125" s="18" t="str">
        <x:f>IF(A125="","",IF(G125="Manual","Manual",IF(G125&gt;0,"Yes","No")))</x:f>
      </x:c>
      <x:c r="J125" s="18" t="str">
        <x:f>IF(A125="","",B125&amp;": "&amp;IF(I125="Yes","Available ("&amp;G125&amp;"/"&amp;IF(E125="",1,E125)&amp;" left)",IF(I125="Manual","Manual check",IF(ISNUMBER(H125),"0/"&amp;IF(E125="",1,E125)&amp;" left; resets "&amp;TEXT(H125,"yyyy-mm-dd"),"Used"))))</x:f>
      </x:c>
      <x:c r="K125" s="18"/>
      <x:c r="L125" s="18" t="str">
        <x:v>Yes</x:v>
      </x:c>
      <x:c r="M125" s="18" t="str">
        <x:f>IF(A125="","",A125&amp;"|"&amp;B125)</x:f>
      </x:c>
      <x:c r="N125" s="18"/>
    </x:row>
    <x:row r="126">
      <x:c r="A126" s="18"/>
      <x:c r="B126" s="18"/>
      <x:c r="C126" s="18"/>
      <x:c r="D126" s="19"/>
      <x:c r="E126" s="20"/>
      <x:c r="F126" s="20"/>
      <x:c r="G126" s="20" t="str">
        <x:f>IF(A126="","",IF(C126="Manual","Manual",MAX(0,IF(E126="",1,E126)-IF(OR(D126="",D126&lt;SWITCH(C126,"Daily",TODAY(),"Weekly",IFERROR(VLOOKUP(A126,'VIP Signups'!$A$5:$B$204,2,FALSE)+INT((TODAY()-VLOOKUP(A126,'VIP Signups'!$A$5:$B$204,2,FALSE))/7)*7,TODAY()),"Monthly",IFERROR(EDATE(VLOOKUP(A126,'VIP Signups'!$A$5:$B$204,2,FALSE),DATEDIF(VLOOKUP(A126,'VIP Signups'!$A$5:$B$204,2,FALSE),TODAY(),"M")),TODAY()),"Quarterly",IFERROR(EDATE(VLOOKUP(A126,'VIP Signups'!$A$5:$B$204,2,FALSE),INT(DATEDIF(VLOOKUP(A126,'VIP Signups'!$A$5:$B$204,2,FALSE),TODAY(),"M")/3)*3),TODAY()),"Yearly",IFERROR(EDATE(VLOOKUP(A126,'VIP Signups'!$A$5:$B$204,2,FALSE),DATEDIF(VLOOKUP(A126,'VIP Signups'!$A$5:$B$204,2,FALSE),TODAY(),"Y")*12),TODAY()),"One-time",IFERROR(VLOOKUP(A126,'VIP Signups'!$A$5:$B$204,2,FALSE),D126),"Manual",TODAY(),TODAY())),0,IF(F126="",0,F126)))))</x:f>
      </x:c>
      <x:c r="H126" s="19" t="str">
        <x:f>IF(A126="","",SWITCH(C126,"Daily",TODAY()+1,"Weekly",IFERROR(VLOOKUP(A126,'VIP Signups'!$A$5:$B$204,2,FALSE)+CEILING((TODAY()-VLOOKUP(A126,'VIP Signups'!$A$5:$B$204,2,FALSE)+1)/7,1)*7,D126+7),"Monthly",IFERROR(EDATE(VLOOKUP(A126,'VIP Signups'!$A$5:$B$204,2,FALSE),DATEDIF(VLOOKUP(A126,'VIP Signups'!$A$5:$B$204,2,FALSE),TODAY(),"M")+1),EDATE(D126,1)),"Quarterly",IFERROR(EDATE(VLOOKUP(A126,'VIP Signups'!$A$5:$B$204,2,FALSE),(INT(DATEDIF(VLOOKUP(A126,'VIP Signups'!$A$5:$B$204,2,FALSE),TODAY(),"M")/3)+1)*3),EDATE(D126,3)),"Yearly",IFERROR(EDATE(VLOOKUP(A126,'VIP Signups'!$A$5:$B$204,2,FALSE),(DATEDIF(VLOOKUP(A126,'VIP Signups'!$A$5:$B$204,2,FALSE),TODAY(),"Y")+1)*12),EDATE(D126,12)),"One-time","Used","Manual","Manual",""))</x:f>
      </x:c>
      <x:c r="I126" s="18" t="str">
        <x:f>IF(A126="","",IF(G126="Manual","Manual",IF(G126&gt;0,"Yes","No")))</x:f>
      </x:c>
      <x:c r="J126" s="18" t="str">
        <x:f>IF(A126="","",B126&amp;": "&amp;IF(I126="Yes","Available ("&amp;G126&amp;"/"&amp;IF(E126="",1,E126)&amp;" left)",IF(I126="Manual","Manual check",IF(ISNUMBER(H126),"0/"&amp;IF(E126="",1,E126)&amp;" left; resets "&amp;TEXT(H126,"yyyy-mm-dd"),"Used"))))</x:f>
      </x:c>
      <x:c r="K126" s="18"/>
      <x:c r="L126" s="18" t="str">
        <x:v>Yes</x:v>
      </x:c>
      <x:c r="M126" s="18" t="str">
        <x:f>IF(A126="","",A126&amp;"|"&amp;B126)</x:f>
      </x:c>
      <x:c r="N126" s="18"/>
    </x:row>
    <x:row r="127">
      <x:c r="A127" s="18"/>
      <x:c r="B127" s="18"/>
      <x:c r="C127" s="18"/>
      <x:c r="D127" s="19"/>
      <x:c r="E127" s="20"/>
      <x:c r="F127" s="20"/>
      <x:c r="G127" s="20" t="str">
        <x:f>IF(A127="","",IF(C127="Manual","Manual",MAX(0,IF(E127="",1,E127)-IF(OR(D127="",D127&lt;SWITCH(C127,"Daily",TODAY(),"Weekly",IFERROR(VLOOKUP(A127,'VIP Signups'!$A$5:$B$204,2,FALSE)+INT((TODAY()-VLOOKUP(A127,'VIP Signups'!$A$5:$B$204,2,FALSE))/7)*7,TODAY()),"Monthly",IFERROR(EDATE(VLOOKUP(A127,'VIP Signups'!$A$5:$B$204,2,FALSE),DATEDIF(VLOOKUP(A127,'VIP Signups'!$A$5:$B$204,2,FALSE),TODAY(),"M")),TODAY()),"Quarterly",IFERROR(EDATE(VLOOKUP(A127,'VIP Signups'!$A$5:$B$204,2,FALSE),INT(DATEDIF(VLOOKUP(A127,'VIP Signups'!$A$5:$B$204,2,FALSE),TODAY(),"M")/3)*3),TODAY()),"Yearly",IFERROR(EDATE(VLOOKUP(A127,'VIP Signups'!$A$5:$B$204,2,FALSE),DATEDIF(VLOOKUP(A127,'VIP Signups'!$A$5:$B$204,2,FALSE),TODAY(),"Y")*12),TODAY()),"One-time",IFERROR(VLOOKUP(A127,'VIP Signups'!$A$5:$B$204,2,FALSE),D127),"Manual",TODAY(),TODAY())),0,IF(F127="",0,F127)))))</x:f>
      </x:c>
      <x:c r="H127" s="19" t="str">
        <x:f>IF(A127="","",SWITCH(C127,"Daily",TODAY()+1,"Weekly",IFERROR(VLOOKUP(A127,'VIP Signups'!$A$5:$B$204,2,FALSE)+CEILING((TODAY()-VLOOKUP(A127,'VIP Signups'!$A$5:$B$204,2,FALSE)+1)/7,1)*7,D127+7),"Monthly",IFERROR(EDATE(VLOOKUP(A127,'VIP Signups'!$A$5:$B$204,2,FALSE),DATEDIF(VLOOKUP(A127,'VIP Signups'!$A$5:$B$204,2,FALSE),TODAY(),"M")+1),EDATE(D127,1)),"Quarterly",IFERROR(EDATE(VLOOKUP(A127,'VIP Signups'!$A$5:$B$204,2,FALSE),(INT(DATEDIF(VLOOKUP(A127,'VIP Signups'!$A$5:$B$204,2,FALSE),TODAY(),"M")/3)+1)*3),EDATE(D127,3)),"Yearly",IFERROR(EDATE(VLOOKUP(A127,'VIP Signups'!$A$5:$B$204,2,FALSE),(DATEDIF(VLOOKUP(A127,'VIP Signups'!$A$5:$B$204,2,FALSE),TODAY(),"Y")+1)*12),EDATE(D127,12)),"One-time","Used","Manual","Manual",""))</x:f>
      </x:c>
      <x:c r="I127" s="18" t="str">
        <x:f>IF(A127="","",IF(G127="Manual","Manual",IF(G127&gt;0,"Yes","No")))</x:f>
      </x:c>
      <x:c r="J127" s="18" t="str">
        <x:f>IF(A127="","",B127&amp;": "&amp;IF(I127="Yes","Available ("&amp;G127&amp;"/"&amp;IF(E127="",1,E127)&amp;" left)",IF(I127="Manual","Manual check",IF(ISNUMBER(H127),"0/"&amp;IF(E127="",1,E127)&amp;" left; resets "&amp;TEXT(H127,"yyyy-mm-dd"),"Used"))))</x:f>
      </x:c>
      <x:c r="K127" s="18"/>
      <x:c r="L127" s="18" t="str">
        <x:v>Yes</x:v>
      </x:c>
      <x:c r="M127" s="18" t="str">
        <x:f>IF(A127="","",A127&amp;"|"&amp;B127)</x:f>
      </x:c>
      <x:c r="N127" s="18"/>
    </x:row>
    <x:row r="128">
      <x:c r="A128" s="18"/>
      <x:c r="B128" s="18"/>
      <x:c r="C128" s="18"/>
      <x:c r="D128" s="19"/>
      <x:c r="E128" s="20"/>
      <x:c r="F128" s="20"/>
      <x:c r="G128" s="20" t="str">
        <x:f>IF(A128="","",IF(C128="Manual","Manual",MAX(0,IF(E128="",1,E128)-IF(OR(D128="",D128&lt;SWITCH(C128,"Daily",TODAY(),"Weekly",IFERROR(VLOOKUP(A128,'VIP Signups'!$A$5:$B$204,2,FALSE)+INT((TODAY()-VLOOKUP(A128,'VIP Signups'!$A$5:$B$204,2,FALSE))/7)*7,TODAY()),"Monthly",IFERROR(EDATE(VLOOKUP(A128,'VIP Signups'!$A$5:$B$204,2,FALSE),DATEDIF(VLOOKUP(A128,'VIP Signups'!$A$5:$B$204,2,FALSE),TODAY(),"M")),TODAY()),"Quarterly",IFERROR(EDATE(VLOOKUP(A128,'VIP Signups'!$A$5:$B$204,2,FALSE),INT(DATEDIF(VLOOKUP(A128,'VIP Signups'!$A$5:$B$204,2,FALSE),TODAY(),"M")/3)*3),TODAY()),"Yearly",IFERROR(EDATE(VLOOKUP(A128,'VIP Signups'!$A$5:$B$204,2,FALSE),DATEDIF(VLOOKUP(A128,'VIP Signups'!$A$5:$B$204,2,FALSE),TODAY(),"Y")*12),TODAY()),"One-time",IFERROR(VLOOKUP(A128,'VIP Signups'!$A$5:$B$204,2,FALSE),D128),"Manual",TODAY(),TODAY())),0,IF(F128="",0,F128)))))</x:f>
      </x:c>
      <x:c r="H128" s="19" t="str">
        <x:f>IF(A128="","",SWITCH(C128,"Daily",TODAY()+1,"Weekly",IFERROR(VLOOKUP(A128,'VIP Signups'!$A$5:$B$204,2,FALSE)+CEILING((TODAY()-VLOOKUP(A128,'VIP Signups'!$A$5:$B$204,2,FALSE)+1)/7,1)*7,D128+7),"Monthly",IFERROR(EDATE(VLOOKUP(A128,'VIP Signups'!$A$5:$B$204,2,FALSE),DATEDIF(VLOOKUP(A128,'VIP Signups'!$A$5:$B$204,2,FALSE),TODAY(),"M")+1),EDATE(D128,1)),"Quarterly",IFERROR(EDATE(VLOOKUP(A128,'VIP Signups'!$A$5:$B$204,2,FALSE),(INT(DATEDIF(VLOOKUP(A128,'VIP Signups'!$A$5:$B$204,2,FALSE),TODAY(),"M")/3)+1)*3),EDATE(D128,3)),"Yearly",IFERROR(EDATE(VLOOKUP(A128,'VIP Signups'!$A$5:$B$204,2,FALSE),(DATEDIF(VLOOKUP(A128,'VIP Signups'!$A$5:$B$204,2,FALSE),TODAY(),"Y")+1)*12),EDATE(D128,12)),"One-time","Used","Manual","Manual",""))</x:f>
      </x:c>
      <x:c r="I128" s="18" t="str">
        <x:f>IF(A128="","",IF(G128="Manual","Manual",IF(G128&gt;0,"Yes","No")))</x:f>
      </x:c>
      <x:c r="J128" s="18" t="str">
        <x:f>IF(A128="","",B128&amp;": "&amp;IF(I128="Yes","Available ("&amp;G128&amp;"/"&amp;IF(E128="",1,E128)&amp;" left)",IF(I128="Manual","Manual check",IF(ISNUMBER(H128),"0/"&amp;IF(E128="",1,E128)&amp;" left; resets "&amp;TEXT(H128,"yyyy-mm-dd"),"Used"))))</x:f>
      </x:c>
      <x:c r="K128" s="18"/>
      <x:c r="L128" s="18" t="str">
        <x:v>Yes</x:v>
      </x:c>
      <x:c r="M128" s="18" t="str">
        <x:f>IF(A128="","",A128&amp;"|"&amp;B128)</x:f>
      </x:c>
      <x:c r="N128" s="18"/>
    </x:row>
    <x:row r="129">
      <x:c r="A129" s="18"/>
      <x:c r="B129" s="18"/>
      <x:c r="C129" s="18"/>
      <x:c r="D129" s="19"/>
      <x:c r="E129" s="20"/>
      <x:c r="F129" s="20"/>
      <x:c r="G129" s="20" t="str">
        <x:f>IF(A129="","",IF(C129="Manual","Manual",MAX(0,IF(E129="",1,E129)-IF(OR(D129="",D129&lt;SWITCH(C129,"Daily",TODAY(),"Weekly",IFERROR(VLOOKUP(A129,'VIP Signups'!$A$5:$B$204,2,FALSE)+INT((TODAY()-VLOOKUP(A129,'VIP Signups'!$A$5:$B$204,2,FALSE))/7)*7,TODAY()),"Monthly",IFERROR(EDATE(VLOOKUP(A129,'VIP Signups'!$A$5:$B$204,2,FALSE),DATEDIF(VLOOKUP(A129,'VIP Signups'!$A$5:$B$204,2,FALSE),TODAY(),"M")),TODAY()),"Quarterly",IFERROR(EDATE(VLOOKUP(A129,'VIP Signups'!$A$5:$B$204,2,FALSE),INT(DATEDIF(VLOOKUP(A129,'VIP Signups'!$A$5:$B$204,2,FALSE),TODAY(),"M")/3)*3),TODAY()),"Yearly",IFERROR(EDATE(VLOOKUP(A129,'VIP Signups'!$A$5:$B$204,2,FALSE),DATEDIF(VLOOKUP(A129,'VIP Signups'!$A$5:$B$204,2,FALSE),TODAY(),"Y")*12),TODAY()),"One-time",IFERROR(VLOOKUP(A129,'VIP Signups'!$A$5:$B$204,2,FALSE),D129),"Manual",TODAY(),TODAY())),0,IF(F129="",0,F129)))))</x:f>
      </x:c>
      <x:c r="H129" s="19" t="str">
        <x:f>IF(A129="","",SWITCH(C129,"Daily",TODAY()+1,"Weekly",IFERROR(VLOOKUP(A129,'VIP Signups'!$A$5:$B$204,2,FALSE)+CEILING((TODAY()-VLOOKUP(A129,'VIP Signups'!$A$5:$B$204,2,FALSE)+1)/7,1)*7,D129+7),"Monthly",IFERROR(EDATE(VLOOKUP(A129,'VIP Signups'!$A$5:$B$204,2,FALSE),DATEDIF(VLOOKUP(A129,'VIP Signups'!$A$5:$B$204,2,FALSE),TODAY(),"M")+1),EDATE(D129,1)),"Quarterly",IFERROR(EDATE(VLOOKUP(A129,'VIP Signups'!$A$5:$B$204,2,FALSE),(INT(DATEDIF(VLOOKUP(A129,'VIP Signups'!$A$5:$B$204,2,FALSE),TODAY(),"M")/3)+1)*3),EDATE(D129,3)),"Yearly",IFERROR(EDATE(VLOOKUP(A129,'VIP Signups'!$A$5:$B$204,2,FALSE),(DATEDIF(VLOOKUP(A129,'VIP Signups'!$A$5:$B$204,2,FALSE),TODAY(),"Y")+1)*12),EDATE(D129,12)),"One-time","Used","Manual","Manual",""))</x:f>
      </x:c>
      <x:c r="I129" s="18" t="str">
        <x:f>IF(A129="","",IF(G129="Manual","Manual",IF(G129&gt;0,"Yes","No")))</x:f>
      </x:c>
      <x:c r="J129" s="18" t="str">
        <x:f>IF(A129="","",B129&amp;": "&amp;IF(I129="Yes","Available ("&amp;G129&amp;"/"&amp;IF(E129="",1,E129)&amp;" left)",IF(I129="Manual","Manual check",IF(ISNUMBER(H129),"0/"&amp;IF(E129="",1,E129)&amp;" left; resets "&amp;TEXT(H129,"yyyy-mm-dd"),"Used"))))</x:f>
      </x:c>
      <x:c r="K129" s="18"/>
      <x:c r="L129" s="18" t="str">
        <x:v>Yes</x:v>
      </x:c>
      <x:c r="M129" s="18" t="str">
        <x:f>IF(A129="","",A129&amp;"|"&amp;B129)</x:f>
      </x:c>
      <x:c r="N129" s="18"/>
    </x:row>
    <x:row r="130">
      <x:c r="A130" s="18"/>
      <x:c r="B130" s="18"/>
      <x:c r="C130" s="18"/>
      <x:c r="D130" s="19"/>
      <x:c r="E130" s="20"/>
      <x:c r="F130" s="20"/>
      <x:c r="G130" s="20" t="str">
        <x:f>IF(A130="","",IF(C130="Manual","Manual",MAX(0,IF(E130="",1,E130)-IF(OR(D130="",D130&lt;SWITCH(C130,"Daily",TODAY(),"Weekly",IFERROR(VLOOKUP(A130,'VIP Signups'!$A$5:$B$204,2,FALSE)+INT((TODAY()-VLOOKUP(A130,'VIP Signups'!$A$5:$B$204,2,FALSE))/7)*7,TODAY()),"Monthly",IFERROR(EDATE(VLOOKUP(A130,'VIP Signups'!$A$5:$B$204,2,FALSE),DATEDIF(VLOOKUP(A130,'VIP Signups'!$A$5:$B$204,2,FALSE),TODAY(),"M")),TODAY()),"Quarterly",IFERROR(EDATE(VLOOKUP(A130,'VIP Signups'!$A$5:$B$204,2,FALSE),INT(DATEDIF(VLOOKUP(A130,'VIP Signups'!$A$5:$B$204,2,FALSE),TODAY(),"M")/3)*3),TODAY()),"Yearly",IFERROR(EDATE(VLOOKUP(A130,'VIP Signups'!$A$5:$B$204,2,FALSE),DATEDIF(VLOOKUP(A130,'VIP Signups'!$A$5:$B$204,2,FALSE),TODAY(),"Y")*12),TODAY()),"One-time",IFERROR(VLOOKUP(A130,'VIP Signups'!$A$5:$B$204,2,FALSE),D130),"Manual",TODAY(),TODAY())),0,IF(F130="",0,F130)))))</x:f>
      </x:c>
      <x:c r="H130" s="19" t="str">
        <x:f>IF(A130="","",SWITCH(C130,"Daily",TODAY()+1,"Weekly",IFERROR(VLOOKUP(A130,'VIP Signups'!$A$5:$B$204,2,FALSE)+CEILING((TODAY()-VLOOKUP(A130,'VIP Signups'!$A$5:$B$204,2,FALSE)+1)/7,1)*7,D130+7),"Monthly",IFERROR(EDATE(VLOOKUP(A130,'VIP Signups'!$A$5:$B$204,2,FALSE),DATEDIF(VLOOKUP(A130,'VIP Signups'!$A$5:$B$204,2,FALSE),TODAY(),"M")+1),EDATE(D130,1)),"Quarterly",IFERROR(EDATE(VLOOKUP(A130,'VIP Signups'!$A$5:$B$204,2,FALSE),(INT(DATEDIF(VLOOKUP(A130,'VIP Signups'!$A$5:$B$204,2,FALSE),TODAY(),"M")/3)+1)*3),EDATE(D130,3)),"Yearly",IFERROR(EDATE(VLOOKUP(A130,'VIP Signups'!$A$5:$B$204,2,FALSE),(DATEDIF(VLOOKUP(A130,'VIP Signups'!$A$5:$B$204,2,FALSE),TODAY(),"Y")+1)*12),EDATE(D130,12)),"One-time","Used","Manual","Manual",""))</x:f>
      </x:c>
      <x:c r="I130" s="18" t="str">
        <x:f>IF(A130="","",IF(G130="Manual","Manual",IF(G130&gt;0,"Yes","No")))</x:f>
      </x:c>
      <x:c r="J130" s="18" t="str">
        <x:f>IF(A130="","",B130&amp;": "&amp;IF(I130="Yes","Available ("&amp;G130&amp;"/"&amp;IF(E130="",1,E130)&amp;" left)",IF(I130="Manual","Manual check",IF(ISNUMBER(H130),"0/"&amp;IF(E130="",1,E130)&amp;" left; resets "&amp;TEXT(H130,"yyyy-mm-dd"),"Used"))))</x:f>
      </x:c>
      <x:c r="K130" s="18"/>
      <x:c r="L130" s="18" t="str">
        <x:v>Yes</x:v>
      </x:c>
      <x:c r="M130" s="18" t="str">
        <x:f>IF(A130="","",A130&amp;"|"&amp;B130)</x:f>
      </x:c>
      <x:c r="N130" s="18"/>
    </x:row>
    <x:row r="131">
      <x:c r="A131" s="18"/>
      <x:c r="B131" s="18"/>
      <x:c r="C131" s="18"/>
      <x:c r="D131" s="19"/>
      <x:c r="E131" s="20"/>
      <x:c r="F131" s="20"/>
      <x:c r="G131" s="20" t="str">
        <x:f>IF(A131="","",IF(C131="Manual","Manual",MAX(0,IF(E131="",1,E131)-IF(OR(D131="",D131&lt;SWITCH(C131,"Daily",TODAY(),"Weekly",IFERROR(VLOOKUP(A131,'VIP Signups'!$A$5:$B$204,2,FALSE)+INT((TODAY()-VLOOKUP(A131,'VIP Signups'!$A$5:$B$204,2,FALSE))/7)*7,TODAY()),"Monthly",IFERROR(EDATE(VLOOKUP(A131,'VIP Signups'!$A$5:$B$204,2,FALSE),DATEDIF(VLOOKUP(A131,'VIP Signups'!$A$5:$B$204,2,FALSE),TODAY(),"M")),TODAY()),"Quarterly",IFERROR(EDATE(VLOOKUP(A131,'VIP Signups'!$A$5:$B$204,2,FALSE),INT(DATEDIF(VLOOKUP(A131,'VIP Signups'!$A$5:$B$204,2,FALSE),TODAY(),"M")/3)*3),TODAY()),"Yearly",IFERROR(EDATE(VLOOKUP(A131,'VIP Signups'!$A$5:$B$204,2,FALSE),DATEDIF(VLOOKUP(A131,'VIP Signups'!$A$5:$B$204,2,FALSE),TODAY(),"Y")*12),TODAY()),"One-time",IFERROR(VLOOKUP(A131,'VIP Signups'!$A$5:$B$204,2,FALSE),D131),"Manual",TODAY(),TODAY())),0,IF(F131="",0,F131)))))</x:f>
      </x:c>
      <x:c r="H131" s="19" t="str">
        <x:f>IF(A131="","",SWITCH(C131,"Daily",TODAY()+1,"Weekly",IFERROR(VLOOKUP(A131,'VIP Signups'!$A$5:$B$204,2,FALSE)+CEILING((TODAY()-VLOOKUP(A131,'VIP Signups'!$A$5:$B$204,2,FALSE)+1)/7,1)*7,D131+7),"Monthly",IFERROR(EDATE(VLOOKUP(A131,'VIP Signups'!$A$5:$B$204,2,FALSE),DATEDIF(VLOOKUP(A131,'VIP Signups'!$A$5:$B$204,2,FALSE),TODAY(),"M")+1),EDATE(D131,1)),"Quarterly",IFERROR(EDATE(VLOOKUP(A131,'VIP Signups'!$A$5:$B$204,2,FALSE),(INT(DATEDIF(VLOOKUP(A131,'VIP Signups'!$A$5:$B$204,2,FALSE),TODAY(),"M")/3)+1)*3),EDATE(D131,3)),"Yearly",IFERROR(EDATE(VLOOKUP(A131,'VIP Signups'!$A$5:$B$204,2,FALSE),(DATEDIF(VLOOKUP(A131,'VIP Signups'!$A$5:$B$204,2,FALSE),TODAY(),"Y")+1)*12),EDATE(D131,12)),"One-time","Used","Manual","Manual",""))</x:f>
      </x:c>
      <x:c r="I131" s="18" t="str">
        <x:f>IF(A131="","",IF(G131="Manual","Manual",IF(G131&gt;0,"Yes","No")))</x:f>
      </x:c>
      <x:c r="J131" s="18" t="str">
        <x:f>IF(A131="","",B131&amp;": "&amp;IF(I131="Yes","Available ("&amp;G131&amp;"/"&amp;IF(E131="",1,E131)&amp;" left)",IF(I131="Manual","Manual check",IF(ISNUMBER(H131),"0/"&amp;IF(E131="",1,E131)&amp;" left; resets "&amp;TEXT(H131,"yyyy-mm-dd"),"Used"))))</x:f>
      </x:c>
      <x:c r="K131" s="18"/>
      <x:c r="L131" s="18" t="str">
        <x:v>Yes</x:v>
      </x:c>
      <x:c r="M131" s="18" t="str">
        <x:f>IF(A131="","",A131&amp;"|"&amp;B131)</x:f>
      </x:c>
      <x:c r="N131" s="18"/>
    </x:row>
    <x:row r="132">
      <x:c r="A132" s="18"/>
      <x:c r="B132" s="18"/>
      <x:c r="C132" s="18"/>
      <x:c r="D132" s="19"/>
      <x:c r="E132" s="20"/>
      <x:c r="F132" s="20"/>
      <x:c r="G132" s="20" t="str">
        <x:f>IF(A132="","",IF(C132="Manual","Manual",MAX(0,IF(E132="",1,E132)-IF(OR(D132="",D132&lt;SWITCH(C132,"Daily",TODAY(),"Weekly",IFERROR(VLOOKUP(A132,'VIP Signups'!$A$5:$B$204,2,FALSE)+INT((TODAY()-VLOOKUP(A132,'VIP Signups'!$A$5:$B$204,2,FALSE))/7)*7,TODAY()),"Monthly",IFERROR(EDATE(VLOOKUP(A132,'VIP Signups'!$A$5:$B$204,2,FALSE),DATEDIF(VLOOKUP(A132,'VIP Signups'!$A$5:$B$204,2,FALSE),TODAY(),"M")),TODAY()),"Quarterly",IFERROR(EDATE(VLOOKUP(A132,'VIP Signups'!$A$5:$B$204,2,FALSE),INT(DATEDIF(VLOOKUP(A132,'VIP Signups'!$A$5:$B$204,2,FALSE),TODAY(),"M")/3)*3),TODAY()),"Yearly",IFERROR(EDATE(VLOOKUP(A132,'VIP Signups'!$A$5:$B$204,2,FALSE),DATEDIF(VLOOKUP(A132,'VIP Signups'!$A$5:$B$204,2,FALSE),TODAY(),"Y")*12),TODAY()),"One-time",IFERROR(VLOOKUP(A132,'VIP Signups'!$A$5:$B$204,2,FALSE),D132),"Manual",TODAY(),TODAY())),0,IF(F132="",0,F132)))))</x:f>
      </x:c>
      <x:c r="H132" s="19" t="str">
        <x:f>IF(A132="","",SWITCH(C132,"Daily",TODAY()+1,"Weekly",IFERROR(VLOOKUP(A132,'VIP Signups'!$A$5:$B$204,2,FALSE)+CEILING((TODAY()-VLOOKUP(A132,'VIP Signups'!$A$5:$B$204,2,FALSE)+1)/7,1)*7,D132+7),"Monthly",IFERROR(EDATE(VLOOKUP(A132,'VIP Signups'!$A$5:$B$204,2,FALSE),DATEDIF(VLOOKUP(A132,'VIP Signups'!$A$5:$B$204,2,FALSE),TODAY(),"M")+1),EDATE(D132,1)),"Quarterly",IFERROR(EDATE(VLOOKUP(A132,'VIP Signups'!$A$5:$B$204,2,FALSE),(INT(DATEDIF(VLOOKUP(A132,'VIP Signups'!$A$5:$B$204,2,FALSE),TODAY(),"M")/3)+1)*3),EDATE(D132,3)),"Yearly",IFERROR(EDATE(VLOOKUP(A132,'VIP Signups'!$A$5:$B$204,2,FALSE),(DATEDIF(VLOOKUP(A132,'VIP Signups'!$A$5:$B$204,2,FALSE),TODAY(),"Y")+1)*12),EDATE(D132,12)),"One-time","Used","Manual","Manual",""))</x:f>
      </x:c>
      <x:c r="I132" s="18" t="str">
        <x:f>IF(A132="","",IF(G132="Manual","Manual",IF(G132&gt;0,"Yes","No")))</x:f>
      </x:c>
      <x:c r="J132" s="18" t="str">
        <x:f>IF(A132="","",B132&amp;": "&amp;IF(I132="Yes","Available ("&amp;G132&amp;"/"&amp;IF(E132="",1,E132)&amp;" left)",IF(I132="Manual","Manual check",IF(ISNUMBER(H132),"0/"&amp;IF(E132="",1,E132)&amp;" left; resets "&amp;TEXT(H132,"yyyy-mm-dd"),"Used"))))</x:f>
      </x:c>
      <x:c r="K132" s="18"/>
      <x:c r="L132" s="18" t="str">
        <x:v>Yes</x:v>
      </x:c>
      <x:c r="M132" s="18" t="str">
        <x:f>IF(A132="","",A132&amp;"|"&amp;B132)</x:f>
      </x:c>
      <x:c r="N132" s="18"/>
    </x:row>
    <x:row r="133">
      <x:c r="A133" s="18"/>
      <x:c r="B133" s="18"/>
      <x:c r="C133" s="18"/>
      <x:c r="D133" s="19"/>
      <x:c r="E133" s="20"/>
      <x:c r="F133" s="20"/>
      <x:c r="G133" s="20" t="str">
        <x:f>IF(A133="","",IF(C133="Manual","Manual",MAX(0,IF(E133="",1,E133)-IF(OR(D133="",D133&lt;SWITCH(C133,"Daily",TODAY(),"Weekly",IFERROR(VLOOKUP(A133,'VIP Signups'!$A$5:$B$204,2,FALSE)+INT((TODAY()-VLOOKUP(A133,'VIP Signups'!$A$5:$B$204,2,FALSE))/7)*7,TODAY()),"Monthly",IFERROR(EDATE(VLOOKUP(A133,'VIP Signups'!$A$5:$B$204,2,FALSE),DATEDIF(VLOOKUP(A133,'VIP Signups'!$A$5:$B$204,2,FALSE),TODAY(),"M")),TODAY()),"Quarterly",IFERROR(EDATE(VLOOKUP(A133,'VIP Signups'!$A$5:$B$204,2,FALSE),INT(DATEDIF(VLOOKUP(A133,'VIP Signups'!$A$5:$B$204,2,FALSE),TODAY(),"M")/3)*3),TODAY()),"Yearly",IFERROR(EDATE(VLOOKUP(A133,'VIP Signups'!$A$5:$B$204,2,FALSE),DATEDIF(VLOOKUP(A133,'VIP Signups'!$A$5:$B$204,2,FALSE),TODAY(),"Y")*12),TODAY()),"One-time",IFERROR(VLOOKUP(A133,'VIP Signups'!$A$5:$B$204,2,FALSE),D133),"Manual",TODAY(),TODAY())),0,IF(F133="",0,F133)))))</x:f>
      </x:c>
      <x:c r="H133" s="19" t="str">
        <x:f>IF(A133="","",SWITCH(C133,"Daily",TODAY()+1,"Weekly",IFERROR(VLOOKUP(A133,'VIP Signups'!$A$5:$B$204,2,FALSE)+CEILING((TODAY()-VLOOKUP(A133,'VIP Signups'!$A$5:$B$204,2,FALSE)+1)/7,1)*7,D133+7),"Monthly",IFERROR(EDATE(VLOOKUP(A133,'VIP Signups'!$A$5:$B$204,2,FALSE),DATEDIF(VLOOKUP(A133,'VIP Signups'!$A$5:$B$204,2,FALSE),TODAY(),"M")+1),EDATE(D133,1)),"Quarterly",IFERROR(EDATE(VLOOKUP(A133,'VIP Signups'!$A$5:$B$204,2,FALSE),(INT(DATEDIF(VLOOKUP(A133,'VIP Signups'!$A$5:$B$204,2,FALSE),TODAY(),"M")/3)+1)*3),EDATE(D133,3)),"Yearly",IFERROR(EDATE(VLOOKUP(A133,'VIP Signups'!$A$5:$B$204,2,FALSE),(DATEDIF(VLOOKUP(A133,'VIP Signups'!$A$5:$B$204,2,FALSE),TODAY(),"Y")+1)*12),EDATE(D133,12)),"One-time","Used","Manual","Manual",""))</x:f>
      </x:c>
      <x:c r="I133" s="18" t="str">
        <x:f>IF(A133="","",IF(G133="Manual","Manual",IF(G133&gt;0,"Yes","No")))</x:f>
      </x:c>
      <x:c r="J133" s="18" t="str">
        <x:f>IF(A133="","",B133&amp;": "&amp;IF(I133="Yes","Available ("&amp;G133&amp;"/"&amp;IF(E133="",1,E133)&amp;" left)",IF(I133="Manual","Manual check",IF(ISNUMBER(H133),"0/"&amp;IF(E133="",1,E133)&amp;" left; resets "&amp;TEXT(H133,"yyyy-mm-dd"),"Used"))))</x:f>
      </x:c>
      <x:c r="K133" s="18"/>
      <x:c r="L133" s="18" t="str">
        <x:v>Yes</x:v>
      </x:c>
      <x:c r="M133" s="18" t="str">
        <x:f>IF(A133="","",A133&amp;"|"&amp;B133)</x:f>
      </x:c>
      <x:c r="N133" s="18"/>
    </x:row>
    <x:row r="134">
      <x:c r="A134" s="18"/>
      <x:c r="B134" s="18"/>
      <x:c r="C134" s="18"/>
      <x:c r="D134" s="19"/>
      <x:c r="E134" s="20"/>
      <x:c r="F134" s="20"/>
      <x:c r="G134" s="20" t="str">
        <x:f>IF(A134="","",IF(C134="Manual","Manual",MAX(0,IF(E134="",1,E134)-IF(OR(D134="",D134&lt;SWITCH(C134,"Daily",TODAY(),"Weekly",IFERROR(VLOOKUP(A134,'VIP Signups'!$A$5:$B$204,2,FALSE)+INT((TODAY()-VLOOKUP(A134,'VIP Signups'!$A$5:$B$204,2,FALSE))/7)*7,TODAY()),"Monthly",IFERROR(EDATE(VLOOKUP(A134,'VIP Signups'!$A$5:$B$204,2,FALSE),DATEDIF(VLOOKUP(A134,'VIP Signups'!$A$5:$B$204,2,FALSE),TODAY(),"M")),TODAY()),"Quarterly",IFERROR(EDATE(VLOOKUP(A134,'VIP Signups'!$A$5:$B$204,2,FALSE),INT(DATEDIF(VLOOKUP(A134,'VIP Signups'!$A$5:$B$204,2,FALSE),TODAY(),"M")/3)*3),TODAY()),"Yearly",IFERROR(EDATE(VLOOKUP(A134,'VIP Signups'!$A$5:$B$204,2,FALSE),DATEDIF(VLOOKUP(A134,'VIP Signups'!$A$5:$B$204,2,FALSE),TODAY(),"Y")*12),TODAY()),"One-time",IFERROR(VLOOKUP(A134,'VIP Signups'!$A$5:$B$204,2,FALSE),D134),"Manual",TODAY(),TODAY())),0,IF(F134="",0,F134)))))</x:f>
      </x:c>
      <x:c r="H134" s="19" t="str">
        <x:f>IF(A134="","",SWITCH(C134,"Daily",TODAY()+1,"Weekly",IFERROR(VLOOKUP(A134,'VIP Signups'!$A$5:$B$204,2,FALSE)+CEILING((TODAY()-VLOOKUP(A134,'VIP Signups'!$A$5:$B$204,2,FALSE)+1)/7,1)*7,D134+7),"Monthly",IFERROR(EDATE(VLOOKUP(A134,'VIP Signups'!$A$5:$B$204,2,FALSE),DATEDIF(VLOOKUP(A134,'VIP Signups'!$A$5:$B$204,2,FALSE),TODAY(),"M")+1),EDATE(D134,1)),"Quarterly",IFERROR(EDATE(VLOOKUP(A134,'VIP Signups'!$A$5:$B$204,2,FALSE),(INT(DATEDIF(VLOOKUP(A134,'VIP Signups'!$A$5:$B$204,2,FALSE),TODAY(),"M")/3)+1)*3),EDATE(D134,3)),"Yearly",IFERROR(EDATE(VLOOKUP(A134,'VIP Signups'!$A$5:$B$204,2,FALSE),(DATEDIF(VLOOKUP(A134,'VIP Signups'!$A$5:$B$204,2,FALSE),TODAY(),"Y")+1)*12),EDATE(D134,12)),"One-time","Used","Manual","Manual",""))</x:f>
      </x:c>
      <x:c r="I134" s="18" t="str">
        <x:f>IF(A134="","",IF(G134="Manual","Manual",IF(G134&gt;0,"Yes","No")))</x:f>
      </x:c>
      <x:c r="J134" s="18" t="str">
        <x:f>IF(A134="","",B134&amp;": "&amp;IF(I134="Yes","Available ("&amp;G134&amp;"/"&amp;IF(E134="",1,E134)&amp;" left)",IF(I134="Manual","Manual check",IF(ISNUMBER(H134),"0/"&amp;IF(E134="",1,E134)&amp;" left; resets "&amp;TEXT(H134,"yyyy-mm-dd"),"Used"))))</x:f>
      </x:c>
      <x:c r="K134" s="18"/>
      <x:c r="L134" s="18" t="str">
        <x:v>Yes</x:v>
      </x:c>
      <x:c r="M134" s="18" t="str">
        <x:f>IF(A134="","",A134&amp;"|"&amp;B134)</x:f>
      </x:c>
      <x:c r="N134" s="18"/>
    </x:row>
    <x:row r="135">
      <x:c r="A135" s="18"/>
      <x:c r="B135" s="18"/>
      <x:c r="C135" s="18"/>
      <x:c r="D135" s="19"/>
      <x:c r="E135" s="20"/>
      <x:c r="F135" s="20"/>
      <x:c r="G135" s="20" t="str">
        <x:f>IF(A135="","",IF(C135="Manual","Manual",MAX(0,IF(E135="",1,E135)-IF(OR(D135="",D135&lt;SWITCH(C135,"Daily",TODAY(),"Weekly",IFERROR(VLOOKUP(A135,'VIP Signups'!$A$5:$B$204,2,FALSE)+INT((TODAY()-VLOOKUP(A135,'VIP Signups'!$A$5:$B$204,2,FALSE))/7)*7,TODAY()),"Monthly",IFERROR(EDATE(VLOOKUP(A135,'VIP Signups'!$A$5:$B$204,2,FALSE),DATEDIF(VLOOKUP(A135,'VIP Signups'!$A$5:$B$204,2,FALSE),TODAY(),"M")),TODAY()),"Quarterly",IFERROR(EDATE(VLOOKUP(A135,'VIP Signups'!$A$5:$B$204,2,FALSE),INT(DATEDIF(VLOOKUP(A135,'VIP Signups'!$A$5:$B$204,2,FALSE),TODAY(),"M")/3)*3),TODAY()),"Yearly",IFERROR(EDATE(VLOOKUP(A135,'VIP Signups'!$A$5:$B$204,2,FALSE),DATEDIF(VLOOKUP(A135,'VIP Signups'!$A$5:$B$204,2,FALSE),TODAY(),"Y")*12),TODAY()),"One-time",IFERROR(VLOOKUP(A135,'VIP Signups'!$A$5:$B$204,2,FALSE),D135),"Manual",TODAY(),TODAY())),0,IF(F135="",0,F135)))))</x:f>
      </x:c>
      <x:c r="H135" s="19" t="str">
        <x:f>IF(A135="","",SWITCH(C135,"Daily",TODAY()+1,"Weekly",IFERROR(VLOOKUP(A135,'VIP Signups'!$A$5:$B$204,2,FALSE)+CEILING((TODAY()-VLOOKUP(A135,'VIP Signups'!$A$5:$B$204,2,FALSE)+1)/7,1)*7,D135+7),"Monthly",IFERROR(EDATE(VLOOKUP(A135,'VIP Signups'!$A$5:$B$204,2,FALSE),DATEDIF(VLOOKUP(A135,'VIP Signups'!$A$5:$B$204,2,FALSE),TODAY(),"M")+1),EDATE(D135,1)),"Quarterly",IFERROR(EDATE(VLOOKUP(A135,'VIP Signups'!$A$5:$B$204,2,FALSE),(INT(DATEDIF(VLOOKUP(A135,'VIP Signups'!$A$5:$B$204,2,FALSE),TODAY(),"M")/3)+1)*3),EDATE(D135,3)),"Yearly",IFERROR(EDATE(VLOOKUP(A135,'VIP Signups'!$A$5:$B$204,2,FALSE),(DATEDIF(VLOOKUP(A135,'VIP Signups'!$A$5:$B$204,2,FALSE),TODAY(),"Y")+1)*12),EDATE(D135,12)),"One-time","Used","Manual","Manual",""))</x:f>
      </x:c>
      <x:c r="I135" s="18" t="str">
        <x:f>IF(A135="","",IF(G135="Manual","Manual",IF(G135&gt;0,"Yes","No")))</x:f>
      </x:c>
      <x:c r="J135" s="18" t="str">
        <x:f>IF(A135="","",B135&amp;": "&amp;IF(I135="Yes","Available ("&amp;G135&amp;"/"&amp;IF(E135="",1,E135)&amp;" left)",IF(I135="Manual","Manual check",IF(ISNUMBER(H135),"0/"&amp;IF(E135="",1,E135)&amp;" left; resets "&amp;TEXT(H135,"yyyy-mm-dd"),"Used"))))</x:f>
      </x:c>
      <x:c r="K135" s="18"/>
      <x:c r="L135" s="18" t="str">
        <x:v>Yes</x:v>
      </x:c>
      <x:c r="M135" s="18" t="str">
        <x:f>IF(A135="","",A135&amp;"|"&amp;B135)</x:f>
      </x:c>
      <x:c r="N135" s="18"/>
    </x:row>
    <x:row r="136">
      <x:c r="A136" s="18"/>
      <x:c r="B136" s="18"/>
      <x:c r="C136" s="18"/>
      <x:c r="D136" s="19"/>
      <x:c r="E136" s="20"/>
      <x:c r="F136" s="20"/>
      <x:c r="G136" s="20" t="str">
        <x:f>IF(A136="","",IF(C136="Manual","Manual",MAX(0,IF(E136="",1,E136)-IF(OR(D136="",D136&lt;SWITCH(C136,"Daily",TODAY(),"Weekly",IFERROR(VLOOKUP(A136,'VIP Signups'!$A$5:$B$204,2,FALSE)+INT((TODAY()-VLOOKUP(A136,'VIP Signups'!$A$5:$B$204,2,FALSE))/7)*7,TODAY()),"Monthly",IFERROR(EDATE(VLOOKUP(A136,'VIP Signups'!$A$5:$B$204,2,FALSE),DATEDIF(VLOOKUP(A136,'VIP Signups'!$A$5:$B$204,2,FALSE),TODAY(),"M")),TODAY()),"Quarterly",IFERROR(EDATE(VLOOKUP(A136,'VIP Signups'!$A$5:$B$204,2,FALSE),INT(DATEDIF(VLOOKUP(A136,'VIP Signups'!$A$5:$B$204,2,FALSE),TODAY(),"M")/3)*3),TODAY()),"Yearly",IFERROR(EDATE(VLOOKUP(A136,'VIP Signups'!$A$5:$B$204,2,FALSE),DATEDIF(VLOOKUP(A136,'VIP Signups'!$A$5:$B$204,2,FALSE),TODAY(),"Y")*12),TODAY()),"One-time",IFERROR(VLOOKUP(A136,'VIP Signups'!$A$5:$B$204,2,FALSE),D136),"Manual",TODAY(),TODAY())),0,IF(F136="",0,F136)))))</x:f>
      </x:c>
      <x:c r="H136" s="19" t="str">
        <x:f>IF(A136="","",SWITCH(C136,"Daily",TODAY()+1,"Weekly",IFERROR(VLOOKUP(A136,'VIP Signups'!$A$5:$B$204,2,FALSE)+CEILING((TODAY()-VLOOKUP(A136,'VIP Signups'!$A$5:$B$204,2,FALSE)+1)/7,1)*7,D136+7),"Monthly",IFERROR(EDATE(VLOOKUP(A136,'VIP Signups'!$A$5:$B$204,2,FALSE),DATEDIF(VLOOKUP(A136,'VIP Signups'!$A$5:$B$204,2,FALSE),TODAY(),"M")+1),EDATE(D136,1)),"Quarterly",IFERROR(EDATE(VLOOKUP(A136,'VIP Signups'!$A$5:$B$204,2,FALSE),(INT(DATEDIF(VLOOKUP(A136,'VIP Signups'!$A$5:$B$204,2,FALSE),TODAY(),"M")/3)+1)*3),EDATE(D136,3)),"Yearly",IFERROR(EDATE(VLOOKUP(A136,'VIP Signups'!$A$5:$B$204,2,FALSE),(DATEDIF(VLOOKUP(A136,'VIP Signups'!$A$5:$B$204,2,FALSE),TODAY(),"Y")+1)*12),EDATE(D136,12)),"One-time","Used","Manual","Manual",""))</x:f>
      </x:c>
      <x:c r="I136" s="18" t="str">
        <x:f>IF(A136="","",IF(G136="Manual","Manual",IF(G136&gt;0,"Yes","No")))</x:f>
      </x:c>
      <x:c r="J136" s="18" t="str">
        <x:f>IF(A136="","",B136&amp;": "&amp;IF(I136="Yes","Available ("&amp;G136&amp;"/"&amp;IF(E136="",1,E136)&amp;" left)",IF(I136="Manual","Manual check",IF(ISNUMBER(H136),"0/"&amp;IF(E136="",1,E136)&amp;" left; resets "&amp;TEXT(H136,"yyyy-mm-dd"),"Used"))))</x:f>
      </x:c>
      <x:c r="K136" s="18"/>
      <x:c r="L136" s="18" t="str">
        <x:v>Yes</x:v>
      </x:c>
      <x:c r="M136" s="18" t="str">
        <x:f>IF(A136="","",A136&amp;"|"&amp;B136)</x:f>
      </x:c>
      <x:c r="N136" s="18"/>
    </x:row>
    <x:row r="137">
      <x:c r="A137" s="18"/>
      <x:c r="B137" s="18"/>
      <x:c r="C137" s="18"/>
      <x:c r="D137" s="19"/>
      <x:c r="E137" s="20"/>
      <x:c r="F137" s="20"/>
      <x:c r="G137" s="20" t="str">
        <x:f>IF(A137="","",IF(C137="Manual","Manual",MAX(0,IF(E137="",1,E137)-IF(OR(D137="",D137&lt;SWITCH(C137,"Daily",TODAY(),"Weekly",IFERROR(VLOOKUP(A137,'VIP Signups'!$A$5:$B$204,2,FALSE)+INT((TODAY()-VLOOKUP(A137,'VIP Signups'!$A$5:$B$204,2,FALSE))/7)*7,TODAY()),"Monthly",IFERROR(EDATE(VLOOKUP(A137,'VIP Signups'!$A$5:$B$204,2,FALSE),DATEDIF(VLOOKUP(A137,'VIP Signups'!$A$5:$B$204,2,FALSE),TODAY(),"M")),TODAY()),"Quarterly",IFERROR(EDATE(VLOOKUP(A137,'VIP Signups'!$A$5:$B$204,2,FALSE),INT(DATEDIF(VLOOKUP(A137,'VIP Signups'!$A$5:$B$204,2,FALSE),TODAY(),"M")/3)*3),TODAY()),"Yearly",IFERROR(EDATE(VLOOKUP(A137,'VIP Signups'!$A$5:$B$204,2,FALSE),DATEDIF(VLOOKUP(A137,'VIP Signups'!$A$5:$B$204,2,FALSE),TODAY(),"Y")*12),TODAY()),"One-time",IFERROR(VLOOKUP(A137,'VIP Signups'!$A$5:$B$204,2,FALSE),D137),"Manual",TODAY(),TODAY())),0,IF(F137="",0,F137)))))</x:f>
      </x:c>
      <x:c r="H137" s="19" t="str">
        <x:f>IF(A137="","",SWITCH(C137,"Daily",TODAY()+1,"Weekly",IFERROR(VLOOKUP(A137,'VIP Signups'!$A$5:$B$204,2,FALSE)+CEILING((TODAY()-VLOOKUP(A137,'VIP Signups'!$A$5:$B$204,2,FALSE)+1)/7,1)*7,D137+7),"Monthly",IFERROR(EDATE(VLOOKUP(A137,'VIP Signups'!$A$5:$B$204,2,FALSE),DATEDIF(VLOOKUP(A137,'VIP Signups'!$A$5:$B$204,2,FALSE),TODAY(),"M")+1),EDATE(D137,1)),"Quarterly",IFERROR(EDATE(VLOOKUP(A137,'VIP Signups'!$A$5:$B$204,2,FALSE),(INT(DATEDIF(VLOOKUP(A137,'VIP Signups'!$A$5:$B$204,2,FALSE),TODAY(),"M")/3)+1)*3),EDATE(D137,3)),"Yearly",IFERROR(EDATE(VLOOKUP(A137,'VIP Signups'!$A$5:$B$204,2,FALSE),(DATEDIF(VLOOKUP(A137,'VIP Signups'!$A$5:$B$204,2,FALSE),TODAY(),"Y")+1)*12),EDATE(D137,12)),"One-time","Used","Manual","Manual",""))</x:f>
      </x:c>
      <x:c r="I137" s="18" t="str">
        <x:f>IF(A137="","",IF(G137="Manual","Manual",IF(G137&gt;0,"Yes","No")))</x:f>
      </x:c>
      <x:c r="J137" s="18" t="str">
        <x:f>IF(A137="","",B137&amp;": "&amp;IF(I137="Yes","Available ("&amp;G137&amp;"/"&amp;IF(E137="",1,E137)&amp;" left)",IF(I137="Manual","Manual check",IF(ISNUMBER(H137),"0/"&amp;IF(E137="",1,E137)&amp;" left; resets "&amp;TEXT(H137,"yyyy-mm-dd"),"Used"))))</x:f>
      </x:c>
      <x:c r="K137" s="18"/>
      <x:c r="L137" s="18" t="str">
        <x:v>Yes</x:v>
      </x:c>
      <x:c r="M137" s="18" t="str">
        <x:f>IF(A137="","",A137&amp;"|"&amp;B137)</x:f>
      </x:c>
      <x:c r="N137" s="18"/>
    </x:row>
    <x:row r="138">
      <x:c r="A138" s="18"/>
      <x:c r="B138" s="18"/>
      <x:c r="C138" s="18"/>
      <x:c r="D138" s="19"/>
      <x:c r="E138" s="20"/>
      <x:c r="F138" s="20"/>
      <x:c r="G138" s="20" t="str">
        <x:f>IF(A138="","",IF(C138="Manual","Manual",MAX(0,IF(E138="",1,E138)-IF(OR(D138="",D138&lt;SWITCH(C138,"Daily",TODAY(),"Weekly",IFERROR(VLOOKUP(A138,'VIP Signups'!$A$5:$B$204,2,FALSE)+INT((TODAY()-VLOOKUP(A138,'VIP Signups'!$A$5:$B$204,2,FALSE))/7)*7,TODAY()),"Monthly",IFERROR(EDATE(VLOOKUP(A138,'VIP Signups'!$A$5:$B$204,2,FALSE),DATEDIF(VLOOKUP(A138,'VIP Signups'!$A$5:$B$204,2,FALSE),TODAY(),"M")),TODAY()),"Quarterly",IFERROR(EDATE(VLOOKUP(A138,'VIP Signups'!$A$5:$B$204,2,FALSE),INT(DATEDIF(VLOOKUP(A138,'VIP Signups'!$A$5:$B$204,2,FALSE),TODAY(),"M")/3)*3),TODAY()),"Yearly",IFERROR(EDATE(VLOOKUP(A138,'VIP Signups'!$A$5:$B$204,2,FALSE),DATEDIF(VLOOKUP(A138,'VIP Signups'!$A$5:$B$204,2,FALSE),TODAY(),"Y")*12),TODAY()),"One-time",IFERROR(VLOOKUP(A138,'VIP Signups'!$A$5:$B$204,2,FALSE),D138),"Manual",TODAY(),TODAY())),0,IF(F138="",0,F138)))))</x:f>
      </x:c>
      <x:c r="H138" s="19" t="str">
        <x:f>IF(A138="","",SWITCH(C138,"Daily",TODAY()+1,"Weekly",IFERROR(VLOOKUP(A138,'VIP Signups'!$A$5:$B$204,2,FALSE)+CEILING((TODAY()-VLOOKUP(A138,'VIP Signups'!$A$5:$B$204,2,FALSE)+1)/7,1)*7,D138+7),"Monthly",IFERROR(EDATE(VLOOKUP(A138,'VIP Signups'!$A$5:$B$204,2,FALSE),DATEDIF(VLOOKUP(A138,'VIP Signups'!$A$5:$B$204,2,FALSE),TODAY(),"M")+1),EDATE(D138,1)),"Quarterly",IFERROR(EDATE(VLOOKUP(A138,'VIP Signups'!$A$5:$B$204,2,FALSE),(INT(DATEDIF(VLOOKUP(A138,'VIP Signups'!$A$5:$B$204,2,FALSE),TODAY(),"M")/3)+1)*3),EDATE(D138,3)),"Yearly",IFERROR(EDATE(VLOOKUP(A138,'VIP Signups'!$A$5:$B$204,2,FALSE),(DATEDIF(VLOOKUP(A138,'VIP Signups'!$A$5:$B$204,2,FALSE),TODAY(),"Y")+1)*12),EDATE(D138,12)),"One-time","Used","Manual","Manual",""))</x:f>
      </x:c>
      <x:c r="I138" s="18" t="str">
        <x:f>IF(A138="","",IF(G138="Manual","Manual",IF(G138&gt;0,"Yes","No")))</x:f>
      </x:c>
      <x:c r="J138" s="18" t="str">
        <x:f>IF(A138="","",B138&amp;": "&amp;IF(I138="Yes","Available ("&amp;G138&amp;"/"&amp;IF(E138="",1,E138)&amp;" left)",IF(I138="Manual","Manual check",IF(ISNUMBER(H138),"0/"&amp;IF(E138="",1,E138)&amp;" left; resets "&amp;TEXT(H138,"yyyy-mm-dd"),"Used"))))</x:f>
      </x:c>
      <x:c r="K138" s="18"/>
      <x:c r="L138" s="18" t="str">
        <x:v>Yes</x:v>
      </x:c>
      <x:c r="M138" s="18" t="str">
        <x:f>IF(A138="","",A138&amp;"|"&amp;B138)</x:f>
      </x:c>
      <x:c r="N138" s="18"/>
    </x:row>
    <x:row r="139">
      <x:c r="A139" s="18"/>
      <x:c r="B139" s="18"/>
      <x:c r="C139" s="18"/>
      <x:c r="D139" s="19"/>
      <x:c r="E139" s="20"/>
      <x:c r="F139" s="20"/>
      <x:c r="G139" s="20" t="str">
        <x:f>IF(A139="","",IF(C139="Manual","Manual",MAX(0,IF(E139="",1,E139)-IF(OR(D139="",D139&lt;SWITCH(C139,"Daily",TODAY(),"Weekly",IFERROR(VLOOKUP(A139,'VIP Signups'!$A$5:$B$204,2,FALSE)+INT((TODAY()-VLOOKUP(A139,'VIP Signups'!$A$5:$B$204,2,FALSE))/7)*7,TODAY()),"Monthly",IFERROR(EDATE(VLOOKUP(A139,'VIP Signups'!$A$5:$B$204,2,FALSE),DATEDIF(VLOOKUP(A139,'VIP Signups'!$A$5:$B$204,2,FALSE),TODAY(),"M")),TODAY()),"Quarterly",IFERROR(EDATE(VLOOKUP(A139,'VIP Signups'!$A$5:$B$204,2,FALSE),INT(DATEDIF(VLOOKUP(A139,'VIP Signups'!$A$5:$B$204,2,FALSE),TODAY(),"M")/3)*3),TODAY()),"Yearly",IFERROR(EDATE(VLOOKUP(A139,'VIP Signups'!$A$5:$B$204,2,FALSE),DATEDIF(VLOOKUP(A139,'VIP Signups'!$A$5:$B$204,2,FALSE),TODAY(),"Y")*12),TODAY()),"One-time",IFERROR(VLOOKUP(A139,'VIP Signups'!$A$5:$B$204,2,FALSE),D139),"Manual",TODAY(),TODAY())),0,IF(F139="",0,F139)))))</x:f>
      </x:c>
      <x:c r="H139" s="19" t="str">
        <x:f>IF(A139="","",SWITCH(C139,"Daily",TODAY()+1,"Weekly",IFERROR(VLOOKUP(A139,'VIP Signups'!$A$5:$B$204,2,FALSE)+CEILING((TODAY()-VLOOKUP(A139,'VIP Signups'!$A$5:$B$204,2,FALSE)+1)/7,1)*7,D139+7),"Monthly",IFERROR(EDATE(VLOOKUP(A139,'VIP Signups'!$A$5:$B$204,2,FALSE),DATEDIF(VLOOKUP(A139,'VIP Signups'!$A$5:$B$204,2,FALSE),TODAY(),"M")+1),EDATE(D139,1)),"Quarterly",IFERROR(EDATE(VLOOKUP(A139,'VIP Signups'!$A$5:$B$204,2,FALSE),(INT(DATEDIF(VLOOKUP(A139,'VIP Signups'!$A$5:$B$204,2,FALSE),TODAY(),"M")/3)+1)*3),EDATE(D139,3)),"Yearly",IFERROR(EDATE(VLOOKUP(A139,'VIP Signups'!$A$5:$B$204,2,FALSE),(DATEDIF(VLOOKUP(A139,'VIP Signups'!$A$5:$B$204,2,FALSE),TODAY(),"Y")+1)*12),EDATE(D139,12)),"One-time","Used","Manual","Manual",""))</x:f>
      </x:c>
      <x:c r="I139" s="18" t="str">
        <x:f>IF(A139="","",IF(G139="Manual","Manual",IF(G139&gt;0,"Yes","No")))</x:f>
      </x:c>
      <x:c r="J139" s="18" t="str">
        <x:f>IF(A139="","",B139&amp;": "&amp;IF(I139="Yes","Available ("&amp;G139&amp;"/"&amp;IF(E139="",1,E139)&amp;" left)",IF(I139="Manual","Manual check",IF(ISNUMBER(H139),"0/"&amp;IF(E139="",1,E139)&amp;" left; resets "&amp;TEXT(H139,"yyyy-mm-dd"),"Used"))))</x:f>
      </x:c>
      <x:c r="K139" s="18"/>
      <x:c r="L139" s="18" t="str">
        <x:v>Yes</x:v>
      </x:c>
      <x:c r="M139" s="18" t="str">
        <x:f>IF(A139="","",A139&amp;"|"&amp;B139)</x:f>
      </x:c>
      <x:c r="N139" s="18"/>
    </x:row>
    <x:row r="140">
      <x:c r="A140" s="18"/>
      <x:c r="B140" s="18"/>
      <x:c r="C140" s="18"/>
      <x:c r="D140" s="19"/>
      <x:c r="E140" s="20"/>
      <x:c r="F140" s="20"/>
      <x:c r="G140" s="20" t="str">
        <x:f>IF(A140="","",IF(C140="Manual","Manual",MAX(0,IF(E140="",1,E140)-IF(OR(D140="",D140&lt;SWITCH(C140,"Daily",TODAY(),"Weekly",IFERROR(VLOOKUP(A140,'VIP Signups'!$A$5:$B$204,2,FALSE)+INT((TODAY()-VLOOKUP(A140,'VIP Signups'!$A$5:$B$204,2,FALSE))/7)*7,TODAY()),"Monthly",IFERROR(EDATE(VLOOKUP(A140,'VIP Signups'!$A$5:$B$204,2,FALSE),DATEDIF(VLOOKUP(A140,'VIP Signups'!$A$5:$B$204,2,FALSE),TODAY(),"M")),TODAY()),"Quarterly",IFERROR(EDATE(VLOOKUP(A140,'VIP Signups'!$A$5:$B$204,2,FALSE),INT(DATEDIF(VLOOKUP(A140,'VIP Signups'!$A$5:$B$204,2,FALSE),TODAY(),"M")/3)*3),TODAY()),"Yearly",IFERROR(EDATE(VLOOKUP(A140,'VIP Signups'!$A$5:$B$204,2,FALSE),DATEDIF(VLOOKUP(A140,'VIP Signups'!$A$5:$B$204,2,FALSE),TODAY(),"Y")*12),TODAY()),"One-time",IFERROR(VLOOKUP(A140,'VIP Signups'!$A$5:$B$204,2,FALSE),D140),"Manual",TODAY(),TODAY())),0,IF(F140="",0,F140)))))</x:f>
      </x:c>
      <x:c r="H140" s="19" t="str">
        <x:f>IF(A140="","",SWITCH(C140,"Daily",TODAY()+1,"Weekly",IFERROR(VLOOKUP(A140,'VIP Signups'!$A$5:$B$204,2,FALSE)+CEILING((TODAY()-VLOOKUP(A140,'VIP Signups'!$A$5:$B$204,2,FALSE)+1)/7,1)*7,D140+7),"Monthly",IFERROR(EDATE(VLOOKUP(A140,'VIP Signups'!$A$5:$B$204,2,FALSE),DATEDIF(VLOOKUP(A140,'VIP Signups'!$A$5:$B$204,2,FALSE),TODAY(),"M")+1),EDATE(D140,1)),"Quarterly",IFERROR(EDATE(VLOOKUP(A140,'VIP Signups'!$A$5:$B$204,2,FALSE),(INT(DATEDIF(VLOOKUP(A140,'VIP Signups'!$A$5:$B$204,2,FALSE),TODAY(),"M")/3)+1)*3),EDATE(D140,3)),"Yearly",IFERROR(EDATE(VLOOKUP(A140,'VIP Signups'!$A$5:$B$204,2,FALSE),(DATEDIF(VLOOKUP(A140,'VIP Signups'!$A$5:$B$204,2,FALSE),TODAY(),"Y")+1)*12),EDATE(D140,12)),"One-time","Used","Manual","Manual",""))</x:f>
      </x:c>
      <x:c r="I140" s="18" t="str">
        <x:f>IF(A140="","",IF(G140="Manual","Manual",IF(G140&gt;0,"Yes","No")))</x:f>
      </x:c>
      <x:c r="J140" s="18" t="str">
        <x:f>IF(A140="","",B140&amp;": "&amp;IF(I140="Yes","Available ("&amp;G140&amp;"/"&amp;IF(E140="",1,E140)&amp;" left)",IF(I140="Manual","Manual check",IF(ISNUMBER(H140),"0/"&amp;IF(E140="",1,E140)&amp;" left; resets "&amp;TEXT(H140,"yyyy-mm-dd"),"Used"))))</x:f>
      </x:c>
      <x:c r="K140" s="18"/>
      <x:c r="L140" s="18" t="str">
        <x:v>Yes</x:v>
      </x:c>
      <x:c r="M140" s="18" t="str">
        <x:f>IF(A140="","",A140&amp;"|"&amp;B140)</x:f>
      </x:c>
      <x:c r="N140" s="18"/>
    </x:row>
    <x:row r="141">
      <x:c r="A141" s="18"/>
      <x:c r="B141" s="18"/>
      <x:c r="C141" s="18"/>
      <x:c r="D141" s="19"/>
      <x:c r="E141" s="20"/>
      <x:c r="F141" s="20"/>
      <x:c r="G141" s="20" t="str">
        <x:f>IF(A141="","",IF(C141="Manual","Manual",MAX(0,IF(E141="",1,E141)-IF(OR(D141="",D141&lt;SWITCH(C141,"Daily",TODAY(),"Weekly",IFERROR(VLOOKUP(A141,'VIP Signups'!$A$5:$B$204,2,FALSE)+INT((TODAY()-VLOOKUP(A141,'VIP Signups'!$A$5:$B$204,2,FALSE))/7)*7,TODAY()),"Monthly",IFERROR(EDATE(VLOOKUP(A141,'VIP Signups'!$A$5:$B$204,2,FALSE),DATEDIF(VLOOKUP(A141,'VIP Signups'!$A$5:$B$204,2,FALSE),TODAY(),"M")),TODAY()),"Quarterly",IFERROR(EDATE(VLOOKUP(A141,'VIP Signups'!$A$5:$B$204,2,FALSE),INT(DATEDIF(VLOOKUP(A141,'VIP Signups'!$A$5:$B$204,2,FALSE),TODAY(),"M")/3)*3),TODAY()),"Yearly",IFERROR(EDATE(VLOOKUP(A141,'VIP Signups'!$A$5:$B$204,2,FALSE),DATEDIF(VLOOKUP(A141,'VIP Signups'!$A$5:$B$204,2,FALSE),TODAY(),"Y")*12),TODAY()),"One-time",IFERROR(VLOOKUP(A141,'VIP Signups'!$A$5:$B$204,2,FALSE),D141),"Manual",TODAY(),TODAY())),0,IF(F141="",0,F141)))))</x:f>
      </x:c>
      <x:c r="H141" s="19" t="str">
        <x:f>IF(A141="","",SWITCH(C141,"Daily",TODAY()+1,"Weekly",IFERROR(VLOOKUP(A141,'VIP Signups'!$A$5:$B$204,2,FALSE)+CEILING((TODAY()-VLOOKUP(A141,'VIP Signups'!$A$5:$B$204,2,FALSE)+1)/7,1)*7,D141+7),"Monthly",IFERROR(EDATE(VLOOKUP(A141,'VIP Signups'!$A$5:$B$204,2,FALSE),DATEDIF(VLOOKUP(A141,'VIP Signups'!$A$5:$B$204,2,FALSE),TODAY(),"M")+1),EDATE(D141,1)),"Quarterly",IFERROR(EDATE(VLOOKUP(A141,'VIP Signups'!$A$5:$B$204,2,FALSE),(INT(DATEDIF(VLOOKUP(A141,'VIP Signups'!$A$5:$B$204,2,FALSE),TODAY(),"M")/3)+1)*3),EDATE(D141,3)),"Yearly",IFERROR(EDATE(VLOOKUP(A141,'VIP Signups'!$A$5:$B$204,2,FALSE),(DATEDIF(VLOOKUP(A141,'VIP Signups'!$A$5:$B$204,2,FALSE),TODAY(),"Y")+1)*12),EDATE(D141,12)),"One-time","Used","Manual","Manual",""))</x:f>
      </x:c>
      <x:c r="I141" s="18" t="str">
        <x:f>IF(A141="","",IF(G141="Manual","Manual",IF(G141&gt;0,"Yes","No")))</x:f>
      </x:c>
      <x:c r="J141" s="18" t="str">
        <x:f>IF(A141="","",B141&amp;": "&amp;IF(I141="Yes","Available ("&amp;G141&amp;"/"&amp;IF(E141="",1,E141)&amp;" left)",IF(I141="Manual","Manual check",IF(ISNUMBER(H141),"0/"&amp;IF(E141="",1,E141)&amp;" left; resets "&amp;TEXT(H141,"yyyy-mm-dd"),"Used"))))</x:f>
      </x:c>
      <x:c r="K141" s="18"/>
      <x:c r="L141" s="18" t="str">
        <x:v>Yes</x:v>
      </x:c>
      <x:c r="M141" s="18" t="str">
        <x:f>IF(A141="","",A141&amp;"|"&amp;B141)</x:f>
      </x:c>
      <x:c r="N141" s="18"/>
    </x:row>
    <x:row r="142">
      <x:c r="A142" s="18"/>
      <x:c r="B142" s="18"/>
      <x:c r="C142" s="18"/>
      <x:c r="D142" s="19"/>
      <x:c r="E142" s="20"/>
      <x:c r="F142" s="20"/>
      <x:c r="G142" s="20" t="str">
        <x:f>IF(A142="","",IF(C142="Manual","Manual",MAX(0,IF(E142="",1,E142)-IF(OR(D142="",D142&lt;SWITCH(C142,"Daily",TODAY(),"Weekly",IFERROR(VLOOKUP(A142,'VIP Signups'!$A$5:$B$204,2,FALSE)+INT((TODAY()-VLOOKUP(A142,'VIP Signups'!$A$5:$B$204,2,FALSE))/7)*7,TODAY()),"Monthly",IFERROR(EDATE(VLOOKUP(A142,'VIP Signups'!$A$5:$B$204,2,FALSE),DATEDIF(VLOOKUP(A142,'VIP Signups'!$A$5:$B$204,2,FALSE),TODAY(),"M")),TODAY()),"Quarterly",IFERROR(EDATE(VLOOKUP(A142,'VIP Signups'!$A$5:$B$204,2,FALSE),INT(DATEDIF(VLOOKUP(A142,'VIP Signups'!$A$5:$B$204,2,FALSE),TODAY(),"M")/3)*3),TODAY()),"Yearly",IFERROR(EDATE(VLOOKUP(A142,'VIP Signups'!$A$5:$B$204,2,FALSE),DATEDIF(VLOOKUP(A142,'VIP Signups'!$A$5:$B$204,2,FALSE),TODAY(),"Y")*12),TODAY()),"One-time",IFERROR(VLOOKUP(A142,'VIP Signups'!$A$5:$B$204,2,FALSE),D142),"Manual",TODAY(),TODAY())),0,IF(F142="",0,F142)))))</x:f>
      </x:c>
      <x:c r="H142" s="19" t="str">
        <x:f>IF(A142="","",SWITCH(C142,"Daily",TODAY()+1,"Weekly",IFERROR(VLOOKUP(A142,'VIP Signups'!$A$5:$B$204,2,FALSE)+CEILING((TODAY()-VLOOKUP(A142,'VIP Signups'!$A$5:$B$204,2,FALSE)+1)/7,1)*7,D142+7),"Monthly",IFERROR(EDATE(VLOOKUP(A142,'VIP Signups'!$A$5:$B$204,2,FALSE),DATEDIF(VLOOKUP(A142,'VIP Signups'!$A$5:$B$204,2,FALSE),TODAY(),"M")+1),EDATE(D142,1)),"Quarterly",IFERROR(EDATE(VLOOKUP(A142,'VIP Signups'!$A$5:$B$204,2,FALSE),(INT(DATEDIF(VLOOKUP(A142,'VIP Signups'!$A$5:$B$204,2,FALSE),TODAY(),"M")/3)+1)*3),EDATE(D142,3)),"Yearly",IFERROR(EDATE(VLOOKUP(A142,'VIP Signups'!$A$5:$B$204,2,FALSE),(DATEDIF(VLOOKUP(A142,'VIP Signups'!$A$5:$B$204,2,FALSE),TODAY(),"Y")+1)*12),EDATE(D142,12)),"One-time","Used","Manual","Manual",""))</x:f>
      </x:c>
      <x:c r="I142" s="18" t="str">
        <x:f>IF(A142="","",IF(G142="Manual","Manual",IF(G142&gt;0,"Yes","No")))</x:f>
      </x:c>
      <x:c r="J142" s="18" t="str">
        <x:f>IF(A142="","",B142&amp;": "&amp;IF(I142="Yes","Available ("&amp;G142&amp;"/"&amp;IF(E142="",1,E142)&amp;" left)",IF(I142="Manual","Manual check",IF(ISNUMBER(H142),"0/"&amp;IF(E142="",1,E142)&amp;" left; resets "&amp;TEXT(H142,"yyyy-mm-dd"),"Used"))))</x:f>
      </x:c>
      <x:c r="K142" s="18"/>
      <x:c r="L142" s="18" t="str">
        <x:v>Yes</x:v>
      </x:c>
      <x:c r="M142" s="18" t="str">
        <x:f>IF(A142="","",A142&amp;"|"&amp;B142)</x:f>
      </x:c>
      <x:c r="N142" s="18"/>
    </x:row>
    <x:row r="143">
      <x:c r="A143" s="18"/>
      <x:c r="B143" s="18"/>
      <x:c r="C143" s="18"/>
      <x:c r="D143" s="19"/>
      <x:c r="E143" s="20"/>
      <x:c r="F143" s="20"/>
      <x:c r="G143" s="20" t="str">
        <x:f>IF(A143="","",IF(C143="Manual","Manual",MAX(0,IF(E143="",1,E143)-IF(OR(D143="",D143&lt;SWITCH(C143,"Daily",TODAY(),"Weekly",IFERROR(VLOOKUP(A143,'VIP Signups'!$A$5:$B$204,2,FALSE)+INT((TODAY()-VLOOKUP(A143,'VIP Signups'!$A$5:$B$204,2,FALSE))/7)*7,TODAY()),"Monthly",IFERROR(EDATE(VLOOKUP(A143,'VIP Signups'!$A$5:$B$204,2,FALSE),DATEDIF(VLOOKUP(A143,'VIP Signups'!$A$5:$B$204,2,FALSE),TODAY(),"M")),TODAY()),"Quarterly",IFERROR(EDATE(VLOOKUP(A143,'VIP Signups'!$A$5:$B$204,2,FALSE),INT(DATEDIF(VLOOKUP(A143,'VIP Signups'!$A$5:$B$204,2,FALSE),TODAY(),"M")/3)*3),TODAY()),"Yearly",IFERROR(EDATE(VLOOKUP(A143,'VIP Signups'!$A$5:$B$204,2,FALSE),DATEDIF(VLOOKUP(A143,'VIP Signups'!$A$5:$B$204,2,FALSE),TODAY(),"Y")*12),TODAY()),"One-time",IFERROR(VLOOKUP(A143,'VIP Signups'!$A$5:$B$204,2,FALSE),D143),"Manual",TODAY(),TODAY())),0,IF(F143="",0,F143)))))</x:f>
      </x:c>
      <x:c r="H143" s="19" t="str">
        <x:f>IF(A143="","",SWITCH(C143,"Daily",TODAY()+1,"Weekly",IFERROR(VLOOKUP(A143,'VIP Signups'!$A$5:$B$204,2,FALSE)+CEILING((TODAY()-VLOOKUP(A143,'VIP Signups'!$A$5:$B$204,2,FALSE)+1)/7,1)*7,D143+7),"Monthly",IFERROR(EDATE(VLOOKUP(A143,'VIP Signups'!$A$5:$B$204,2,FALSE),DATEDIF(VLOOKUP(A143,'VIP Signups'!$A$5:$B$204,2,FALSE),TODAY(),"M")+1),EDATE(D143,1)),"Quarterly",IFERROR(EDATE(VLOOKUP(A143,'VIP Signups'!$A$5:$B$204,2,FALSE),(INT(DATEDIF(VLOOKUP(A143,'VIP Signups'!$A$5:$B$204,2,FALSE),TODAY(),"M")/3)+1)*3),EDATE(D143,3)),"Yearly",IFERROR(EDATE(VLOOKUP(A143,'VIP Signups'!$A$5:$B$204,2,FALSE),(DATEDIF(VLOOKUP(A143,'VIP Signups'!$A$5:$B$204,2,FALSE),TODAY(),"Y")+1)*12),EDATE(D143,12)),"One-time","Used","Manual","Manual",""))</x:f>
      </x:c>
      <x:c r="I143" s="18" t="str">
        <x:f>IF(A143="","",IF(G143="Manual","Manual",IF(G143&gt;0,"Yes","No")))</x:f>
      </x:c>
      <x:c r="J143" s="18" t="str">
        <x:f>IF(A143="","",B143&amp;": "&amp;IF(I143="Yes","Available ("&amp;G143&amp;"/"&amp;IF(E143="",1,E143)&amp;" left)",IF(I143="Manual","Manual check",IF(ISNUMBER(H143),"0/"&amp;IF(E143="",1,E143)&amp;" left; resets "&amp;TEXT(H143,"yyyy-mm-dd"),"Used"))))</x:f>
      </x:c>
      <x:c r="K143" s="18"/>
      <x:c r="L143" s="18" t="str">
        <x:v>Yes</x:v>
      </x:c>
      <x:c r="M143" s="18" t="str">
        <x:f>IF(A143="","",A143&amp;"|"&amp;B143)</x:f>
      </x:c>
      <x:c r="N143" s="18"/>
    </x:row>
    <x:row r="144">
      <x:c r="A144" s="18"/>
      <x:c r="B144" s="18"/>
      <x:c r="C144" s="18"/>
      <x:c r="D144" s="19"/>
      <x:c r="E144" s="20"/>
      <x:c r="F144" s="20"/>
      <x:c r="G144" s="20" t="str">
        <x:f>IF(A144="","",IF(C144="Manual","Manual",MAX(0,IF(E144="",1,E144)-IF(OR(D144="",D144&lt;SWITCH(C144,"Daily",TODAY(),"Weekly",IFERROR(VLOOKUP(A144,'VIP Signups'!$A$5:$B$204,2,FALSE)+INT((TODAY()-VLOOKUP(A144,'VIP Signups'!$A$5:$B$204,2,FALSE))/7)*7,TODAY()),"Monthly",IFERROR(EDATE(VLOOKUP(A144,'VIP Signups'!$A$5:$B$204,2,FALSE),DATEDIF(VLOOKUP(A144,'VIP Signups'!$A$5:$B$204,2,FALSE),TODAY(),"M")),TODAY()),"Quarterly",IFERROR(EDATE(VLOOKUP(A144,'VIP Signups'!$A$5:$B$204,2,FALSE),INT(DATEDIF(VLOOKUP(A144,'VIP Signups'!$A$5:$B$204,2,FALSE),TODAY(),"M")/3)*3),TODAY()),"Yearly",IFERROR(EDATE(VLOOKUP(A144,'VIP Signups'!$A$5:$B$204,2,FALSE),DATEDIF(VLOOKUP(A144,'VIP Signups'!$A$5:$B$204,2,FALSE),TODAY(),"Y")*12),TODAY()),"One-time",IFERROR(VLOOKUP(A144,'VIP Signups'!$A$5:$B$204,2,FALSE),D144),"Manual",TODAY(),TODAY())),0,IF(F144="",0,F144)))))</x:f>
      </x:c>
      <x:c r="H144" s="19" t="str">
        <x:f>IF(A144="","",SWITCH(C144,"Daily",TODAY()+1,"Weekly",IFERROR(VLOOKUP(A144,'VIP Signups'!$A$5:$B$204,2,FALSE)+CEILING((TODAY()-VLOOKUP(A144,'VIP Signups'!$A$5:$B$204,2,FALSE)+1)/7,1)*7,D144+7),"Monthly",IFERROR(EDATE(VLOOKUP(A144,'VIP Signups'!$A$5:$B$204,2,FALSE),DATEDIF(VLOOKUP(A144,'VIP Signups'!$A$5:$B$204,2,FALSE),TODAY(),"M")+1),EDATE(D144,1)),"Quarterly",IFERROR(EDATE(VLOOKUP(A144,'VIP Signups'!$A$5:$B$204,2,FALSE),(INT(DATEDIF(VLOOKUP(A144,'VIP Signups'!$A$5:$B$204,2,FALSE),TODAY(),"M")/3)+1)*3),EDATE(D144,3)),"Yearly",IFERROR(EDATE(VLOOKUP(A144,'VIP Signups'!$A$5:$B$204,2,FALSE),(DATEDIF(VLOOKUP(A144,'VIP Signups'!$A$5:$B$204,2,FALSE),TODAY(),"Y")+1)*12),EDATE(D144,12)),"One-time","Used","Manual","Manual",""))</x:f>
      </x:c>
      <x:c r="I144" s="18" t="str">
        <x:f>IF(A144="","",IF(G144="Manual","Manual",IF(G144&gt;0,"Yes","No")))</x:f>
      </x:c>
      <x:c r="J144" s="18" t="str">
        <x:f>IF(A144="","",B144&amp;": "&amp;IF(I144="Yes","Available ("&amp;G144&amp;"/"&amp;IF(E144="",1,E144)&amp;" left)",IF(I144="Manual","Manual check",IF(ISNUMBER(H144),"0/"&amp;IF(E144="",1,E144)&amp;" left; resets "&amp;TEXT(H144,"yyyy-mm-dd"),"Used"))))</x:f>
      </x:c>
      <x:c r="K144" s="18"/>
      <x:c r="L144" s="18" t="str">
        <x:v>Yes</x:v>
      </x:c>
      <x:c r="M144" s="18" t="str">
        <x:f>IF(A144="","",A144&amp;"|"&amp;B144)</x:f>
      </x:c>
      <x:c r="N144" s="18"/>
    </x:row>
    <x:row r="145">
      <x:c r="A145" s="18"/>
      <x:c r="B145" s="18"/>
      <x:c r="C145" s="18"/>
      <x:c r="D145" s="19"/>
      <x:c r="E145" s="20"/>
      <x:c r="F145" s="20"/>
      <x:c r="G145" s="20" t="str">
        <x:f>IF(A145="","",IF(C145="Manual","Manual",MAX(0,IF(E145="",1,E145)-IF(OR(D145="",D145&lt;SWITCH(C145,"Daily",TODAY(),"Weekly",IFERROR(VLOOKUP(A145,'VIP Signups'!$A$5:$B$204,2,FALSE)+INT((TODAY()-VLOOKUP(A145,'VIP Signups'!$A$5:$B$204,2,FALSE))/7)*7,TODAY()),"Monthly",IFERROR(EDATE(VLOOKUP(A145,'VIP Signups'!$A$5:$B$204,2,FALSE),DATEDIF(VLOOKUP(A145,'VIP Signups'!$A$5:$B$204,2,FALSE),TODAY(),"M")),TODAY()),"Quarterly",IFERROR(EDATE(VLOOKUP(A145,'VIP Signups'!$A$5:$B$204,2,FALSE),INT(DATEDIF(VLOOKUP(A145,'VIP Signups'!$A$5:$B$204,2,FALSE),TODAY(),"M")/3)*3),TODAY()),"Yearly",IFERROR(EDATE(VLOOKUP(A145,'VIP Signups'!$A$5:$B$204,2,FALSE),DATEDIF(VLOOKUP(A145,'VIP Signups'!$A$5:$B$204,2,FALSE),TODAY(),"Y")*12),TODAY()),"One-time",IFERROR(VLOOKUP(A145,'VIP Signups'!$A$5:$B$204,2,FALSE),D145),"Manual",TODAY(),TODAY())),0,IF(F145="",0,F145)))))</x:f>
      </x:c>
      <x:c r="H145" s="19" t="str">
        <x:f>IF(A145="","",SWITCH(C145,"Daily",TODAY()+1,"Weekly",IFERROR(VLOOKUP(A145,'VIP Signups'!$A$5:$B$204,2,FALSE)+CEILING((TODAY()-VLOOKUP(A145,'VIP Signups'!$A$5:$B$204,2,FALSE)+1)/7,1)*7,D145+7),"Monthly",IFERROR(EDATE(VLOOKUP(A145,'VIP Signups'!$A$5:$B$204,2,FALSE),DATEDIF(VLOOKUP(A145,'VIP Signups'!$A$5:$B$204,2,FALSE),TODAY(),"M")+1),EDATE(D145,1)),"Quarterly",IFERROR(EDATE(VLOOKUP(A145,'VIP Signups'!$A$5:$B$204,2,FALSE),(INT(DATEDIF(VLOOKUP(A145,'VIP Signups'!$A$5:$B$204,2,FALSE),TODAY(),"M")/3)+1)*3),EDATE(D145,3)),"Yearly",IFERROR(EDATE(VLOOKUP(A145,'VIP Signups'!$A$5:$B$204,2,FALSE),(DATEDIF(VLOOKUP(A145,'VIP Signups'!$A$5:$B$204,2,FALSE),TODAY(),"Y")+1)*12),EDATE(D145,12)),"One-time","Used","Manual","Manual",""))</x:f>
      </x:c>
      <x:c r="I145" s="18" t="str">
        <x:f>IF(A145="","",IF(G145="Manual","Manual",IF(G145&gt;0,"Yes","No")))</x:f>
      </x:c>
      <x:c r="J145" s="18" t="str">
        <x:f>IF(A145="","",B145&amp;": "&amp;IF(I145="Yes","Available ("&amp;G145&amp;"/"&amp;IF(E145="",1,E145)&amp;" left)",IF(I145="Manual","Manual check",IF(ISNUMBER(H145),"0/"&amp;IF(E145="",1,E145)&amp;" left; resets "&amp;TEXT(H145,"yyyy-mm-dd"),"Used"))))</x:f>
      </x:c>
      <x:c r="K145" s="18"/>
      <x:c r="L145" s="18" t="str">
        <x:v>Yes</x:v>
      </x:c>
      <x:c r="M145" s="18" t="str">
        <x:f>IF(A145="","",A145&amp;"|"&amp;B145)</x:f>
      </x:c>
      <x:c r="N145" s="18"/>
    </x:row>
    <x:row r="146">
      <x:c r="A146" s="18"/>
      <x:c r="B146" s="18"/>
      <x:c r="C146" s="18"/>
      <x:c r="D146" s="19"/>
      <x:c r="E146" s="20"/>
      <x:c r="F146" s="20"/>
      <x:c r="G146" s="20" t="str">
        <x:f>IF(A146="","",IF(C146="Manual","Manual",MAX(0,IF(E146="",1,E146)-IF(OR(D146="",D146&lt;SWITCH(C146,"Daily",TODAY(),"Weekly",IFERROR(VLOOKUP(A146,'VIP Signups'!$A$5:$B$204,2,FALSE)+INT((TODAY()-VLOOKUP(A146,'VIP Signups'!$A$5:$B$204,2,FALSE))/7)*7,TODAY()),"Monthly",IFERROR(EDATE(VLOOKUP(A146,'VIP Signups'!$A$5:$B$204,2,FALSE),DATEDIF(VLOOKUP(A146,'VIP Signups'!$A$5:$B$204,2,FALSE),TODAY(),"M")),TODAY()),"Quarterly",IFERROR(EDATE(VLOOKUP(A146,'VIP Signups'!$A$5:$B$204,2,FALSE),INT(DATEDIF(VLOOKUP(A146,'VIP Signups'!$A$5:$B$204,2,FALSE),TODAY(),"M")/3)*3),TODAY()),"Yearly",IFERROR(EDATE(VLOOKUP(A146,'VIP Signups'!$A$5:$B$204,2,FALSE),DATEDIF(VLOOKUP(A146,'VIP Signups'!$A$5:$B$204,2,FALSE),TODAY(),"Y")*12),TODAY()),"One-time",IFERROR(VLOOKUP(A146,'VIP Signups'!$A$5:$B$204,2,FALSE),D146),"Manual",TODAY(),TODAY())),0,IF(F146="",0,F146)))))</x:f>
      </x:c>
      <x:c r="H146" s="19" t="str">
        <x:f>IF(A146="","",SWITCH(C146,"Daily",TODAY()+1,"Weekly",IFERROR(VLOOKUP(A146,'VIP Signups'!$A$5:$B$204,2,FALSE)+CEILING((TODAY()-VLOOKUP(A146,'VIP Signups'!$A$5:$B$204,2,FALSE)+1)/7,1)*7,D146+7),"Monthly",IFERROR(EDATE(VLOOKUP(A146,'VIP Signups'!$A$5:$B$204,2,FALSE),DATEDIF(VLOOKUP(A146,'VIP Signups'!$A$5:$B$204,2,FALSE),TODAY(),"M")+1),EDATE(D146,1)),"Quarterly",IFERROR(EDATE(VLOOKUP(A146,'VIP Signups'!$A$5:$B$204,2,FALSE),(INT(DATEDIF(VLOOKUP(A146,'VIP Signups'!$A$5:$B$204,2,FALSE),TODAY(),"M")/3)+1)*3),EDATE(D146,3)),"Yearly",IFERROR(EDATE(VLOOKUP(A146,'VIP Signups'!$A$5:$B$204,2,FALSE),(DATEDIF(VLOOKUP(A146,'VIP Signups'!$A$5:$B$204,2,FALSE),TODAY(),"Y")+1)*12),EDATE(D146,12)),"One-time","Used","Manual","Manual",""))</x:f>
      </x:c>
      <x:c r="I146" s="18" t="str">
        <x:f>IF(A146="","",IF(G146="Manual","Manual",IF(G146&gt;0,"Yes","No")))</x:f>
      </x:c>
      <x:c r="J146" s="18" t="str">
        <x:f>IF(A146="","",B146&amp;": "&amp;IF(I146="Yes","Available ("&amp;G146&amp;"/"&amp;IF(E146="",1,E146)&amp;" left)",IF(I146="Manual","Manual check",IF(ISNUMBER(H146),"0/"&amp;IF(E146="",1,E146)&amp;" left; resets "&amp;TEXT(H146,"yyyy-mm-dd"),"Used"))))</x:f>
      </x:c>
      <x:c r="K146" s="18"/>
      <x:c r="L146" s="18" t="str">
        <x:v>Yes</x:v>
      </x:c>
      <x:c r="M146" s="18" t="str">
        <x:f>IF(A146="","",A146&amp;"|"&amp;B146)</x:f>
      </x:c>
      <x:c r="N146" s="18"/>
    </x:row>
    <x:row r="147">
      <x:c r="A147" s="18"/>
      <x:c r="B147" s="18"/>
      <x:c r="C147" s="18"/>
      <x:c r="D147" s="19"/>
      <x:c r="E147" s="20"/>
      <x:c r="F147" s="20"/>
      <x:c r="G147" s="20" t="str">
        <x:f>IF(A147="","",IF(C147="Manual","Manual",MAX(0,IF(E147="",1,E147)-IF(OR(D147="",D147&lt;SWITCH(C147,"Daily",TODAY(),"Weekly",IFERROR(VLOOKUP(A147,'VIP Signups'!$A$5:$B$204,2,FALSE)+INT((TODAY()-VLOOKUP(A147,'VIP Signups'!$A$5:$B$204,2,FALSE))/7)*7,TODAY()),"Monthly",IFERROR(EDATE(VLOOKUP(A147,'VIP Signups'!$A$5:$B$204,2,FALSE),DATEDIF(VLOOKUP(A147,'VIP Signups'!$A$5:$B$204,2,FALSE),TODAY(),"M")),TODAY()),"Quarterly",IFERROR(EDATE(VLOOKUP(A147,'VIP Signups'!$A$5:$B$204,2,FALSE),INT(DATEDIF(VLOOKUP(A147,'VIP Signups'!$A$5:$B$204,2,FALSE),TODAY(),"M")/3)*3),TODAY()),"Yearly",IFERROR(EDATE(VLOOKUP(A147,'VIP Signups'!$A$5:$B$204,2,FALSE),DATEDIF(VLOOKUP(A147,'VIP Signups'!$A$5:$B$204,2,FALSE),TODAY(),"Y")*12),TODAY()),"One-time",IFERROR(VLOOKUP(A147,'VIP Signups'!$A$5:$B$204,2,FALSE),D147),"Manual",TODAY(),TODAY())),0,IF(F147="",0,F147)))))</x:f>
      </x:c>
      <x:c r="H147" s="19" t="str">
        <x:f>IF(A147="","",SWITCH(C147,"Daily",TODAY()+1,"Weekly",IFERROR(VLOOKUP(A147,'VIP Signups'!$A$5:$B$204,2,FALSE)+CEILING((TODAY()-VLOOKUP(A147,'VIP Signups'!$A$5:$B$204,2,FALSE)+1)/7,1)*7,D147+7),"Monthly",IFERROR(EDATE(VLOOKUP(A147,'VIP Signups'!$A$5:$B$204,2,FALSE),DATEDIF(VLOOKUP(A147,'VIP Signups'!$A$5:$B$204,2,FALSE),TODAY(),"M")+1),EDATE(D147,1)),"Quarterly",IFERROR(EDATE(VLOOKUP(A147,'VIP Signups'!$A$5:$B$204,2,FALSE),(INT(DATEDIF(VLOOKUP(A147,'VIP Signups'!$A$5:$B$204,2,FALSE),TODAY(),"M")/3)+1)*3),EDATE(D147,3)),"Yearly",IFERROR(EDATE(VLOOKUP(A147,'VIP Signups'!$A$5:$B$204,2,FALSE),(DATEDIF(VLOOKUP(A147,'VIP Signups'!$A$5:$B$204,2,FALSE),TODAY(),"Y")+1)*12),EDATE(D147,12)),"One-time","Used","Manual","Manual",""))</x:f>
      </x:c>
      <x:c r="I147" s="18" t="str">
        <x:f>IF(A147="","",IF(G147="Manual","Manual",IF(G147&gt;0,"Yes","No")))</x:f>
      </x:c>
      <x:c r="J147" s="18" t="str">
        <x:f>IF(A147="","",B147&amp;": "&amp;IF(I147="Yes","Available ("&amp;G147&amp;"/"&amp;IF(E147="",1,E147)&amp;" left)",IF(I147="Manual","Manual check",IF(ISNUMBER(H147),"0/"&amp;IF(E147="",1,E147)&amp;" left; resets "&amp;TEXT(H147,"yyyy-mm-dd"),"Used"))))</x:f>
      </x:c>
      <x:c r="K147" s="18"/>
      <x:c r="L147" s="18" t="str">
        <x:v>Yes</x:v>
      </x:c>
      <x:c r="M147" s="18" t="str">
        <x:f>IF(A147="","",A147&amp;"|"&amp;B147)</x:f>
      </x:c>
      <x:c r="N147" s="18"/>
    </x:row>
    <x:row r="148">
      <x:c r="A148" s="18"/>
      <x:c r="B148" s="18"/>
      <x:c r="C148" s="18"/>
      <x:c r="D148" s="19"/>
      <x:c r="E148" s="20"/>
      <x:c r="F148" s="20"/>
      <x:c r="G148" s="20" t="str">
        <x:f>IF(A148="","",IF(C148="Manual","Manual",MAX(0,IF(E148="",1,E148)-IF(OR(D148="",D148&lt;SWITCH(C148,"Daily",TODAY(),"Weekly",IFERROR(VLOOKUP(A148,'VIP Signups'!$A$5:$B$204,2,FALSE)+INT((TODAY()-VLOOKUP(A148,'VIP Signups'!$A$5:$B$204,2,FALSE))/7)*7,TODAY()),"Monthly",IFERROR(EDATE(VLOOKUP(A148,'VIP Signups'!$A$5:$B$204,2,FALSE),DATEDIF(VLOOKUP(A148,'VIP Signups'!$A$5:$B$204,2,FALSE),TODAY(),"M")),TODAY()),"Quarterly",IFERROR(EDATE(VLOOKUP(A148,'VIP Signups'!$A$5:$B$204,2,FALSE),INT(DATEDIF(VLOOKUP(A148,'VIP Signups'!$A$5:$B$204,2,FALSE),TODAY(),"M")/3)*3),TODAY()),"Yearly",IFERROR(EDATE(VLOOKUP(A148,'VIP Signups'!$A$5:$B$204,2,FALSE),DATEDIF(VLOOKUP(A148,'VIP Signups'!$A$5:$B$204,2,FALSE),TODAY(),"Y")*12),TODAY()),"One-time",IFERROR(VLOOKUP(A148,'VIP Signups'!$A$5:$B$204,2,FALSE),D148),"Manual",TODAY(),TODAY())),0,IF(F148="",0,F148)))))</x:f>
      </x:c>
      <x:c r="H148" s="19" t="str">
        <x:f>IF(A148="","",SWITCH(C148,"Daily",TODAY()+1,"Weekly",IFERROR(VLOOKUP(A148,'VIP Signups'!$A$5:$B$204,2,FALSE)+CEILING((TODAY()-VLOOKUP(A148,'VIP Signups'!$A$5:$B$204,2,FALSE)+1)/7,1)*7,D148+7),"Monthly",IFERROR(EDATE(VLOOKUP(A148,'VIP Signups'!$A$5:$B$204,2,FALSE),DATEDIF(VLOOKUP(A148,'VIP Signups'!$A$5:$B$204,2,FALSE),TODAY(),"M")+1),EDATE(D148,1)),"Quarterly",IFERROR(EDATE(VLOOKUP(A148,'VIP Signups'!$A$5:$B$204,2,FALSE),(INT(DATEDIF(VLOOKUP(A148,'VIP Signups'!$A$5:$B$204,2,FALSE),TODAY(),"M")/3)+1)*3),EDATE(D148,3)),"Yearly",IFERROR(EDATE(VLOOKUP(A148,'VIP Signups'!$A$5:$B$204,2,FALSE),(DATEDIF(VLOOKUP(A148,'VIP Signups'!$A$5:$B$204,2,FALSE),TODAY(),"Y")+1)*12),EDATE(D148,12)),"One-time","Used","Manual","Manual",""))</x:f>
      </x:c>
      <x:c r="I148" s="18" t="str">
        <x:f>IF(A148="","",IF(G148="Manual","Manual",IF(G148&gt;0,"Yes","No")))</x:f>
      </x:c>
      <x:c r="J148" s="18" t="str">
        <x:f>IF(A148="","",B148&amp;": "&amp;IF(I148="Yes","Available ("&amp;G148&amp;"/"&amp;IF(E148="",1,E148)&amp;" left)",IF(I148="Manual","Manual check",IF(ISNUMBER(H148),"0/"&amp;IF(E148="",1,E148)&amp;" left; resets "&amp;TEXT(H148,"yyyy-mm-dd"),"Used"))))</x:f>
      </x:c>
      <x:c r="K148" s="18"/>
      <x:c r="L148" s="18" t="str">
        <x:v>Yes</x:v>
      </x:c>
      <x:c r="M148" s="18" t="str">
        <x:f>IF(A148="","",A148&amp;"|"&amp;B148)</x:f>
      </x:c>
      <x:c r="N148" s="18"/>
    </x:row>
    <x:row r="149">
      <x:c r="A149" s="18"/>
      <x:c r="B149" s="18"/>
      <x:c r="C149" s="18"/>
      <x:c r="D149" s="19"/>
      <x:c r="E149" s="20"/>
      <x:c r="F149" s="20"/>
      <x:c r="G149" s="20" t="str">
        <x:f>IF(A149="","",IF(C149="Manual","Manual",MAX(0,IF(E149="",1,E149)-IF(OR(D149="",D149&lt;SWITCH(C149,"Daily",TODAY(),"Weekly",IFERROR(VLOOKUP(A149,'VIP Signups'!$A$5:$B$204,2,FALSE)+INT((TODAY()-VLOOKUP(A149,'VIP Signups'!$A$5:$B$204,2,FALSE))/7)*7,TODAY()),"Monthly",IFERROR(EDATE(VLOOKUP(A149,'VIP Signups'!$A$5:$B$204,2,FALSE),DATEDIF(VLOOKUP(A149,'VIP Signups'!$A$5:$B$204,2,FALSE),TODAY(),"M")),TODAY()),"Quarterly",IFERROR(EDATE(VLOOKUP(A149,'VIP Signups'!$A$5:$B$204,2,FALSE),INT(DATEDIF(VLOOKUP(A149,'VIP Signups'!$A$5:$B$204,2,FALSE),TODAY(),"M")/3)*3),TODAY()),"Yearly",IFERROR(EDATE(VLOOKUP(A149,'VIP Signups'!$A$5:$B$204,2,FALSE),DATEDIF(VLOOKUP(A149,'VIP Signups'!$A$5:$B$204,2,FALSE),TODAY(),"Y")*12),TODAY()),"One-time",IFERROR(VLOOKUP(A149,'VIP Signups'!$A$5:$B$204,2,FALSE),D149),"Manual",TODAY(),TODAY())),0,IF(F149="",0,F149)))))</x:f>
      </x:c>
      <x:c r="H149" s="19" t="str">
        <x:f>IF(A149="","",SWITCH(C149,"Daily",TODAY()+1,"Weekly",IFERROR(VLOOKUP(A149,'VIP Signups'!$A$5:$B$204,2,FALSE)+CEILING((TODAY()-VLOOKUP(A149,'VIP Signups'!$A$5:$B$204,2,FALSE)+1)/7,1)*7,D149+7),"Monthly",IFERROR(EDATE(VLOOKUP(A149,'VIP Signups'!$A$5:$B$204,2,FALSE),DATEDIF(VLOOKUP(A149,'VIP Signups'!$A$5:$B$204,2,FALSE),TODAY(),"M")+1),EDATE(D149,1)),"Quarterly",IFERROR(EDATE(VLOOKUP(A149,'VIP Signups'!$A$5:$B$204,2,FALSE),(INT(DATEDIF(VLOOKUP(A149,'VIP Signups'!$A$5:$B$204,2,FALSE),TODAY(),"M")/3)+1)*3),EDATE(D149,3)),"Yearly",IFERROR(EDATE(VLOOKUP(A149,'VIP Signups'!$A$5:$B$204,2,FALSE),(DATEDIF(VLOOKUP(A149,'VIP Signups'!$A$5:$B$204,2,FALSE),TODAY(),"Y")+1)*12),EDATE(D149,12)),"One-time","Used","Manual","Manual",""))</x:f>
      </x:c>
      <x:c r="I149" s="18" t="str">
        <x:f>IF(A149="","",IF(G149="Manual","Manual",IF(G149&gt;0,"Yes","No")))</x:f>
      </x:c>
      <x:c r="J149" s="18" t="str">
        <x:f>IF(A149="","",B149&amp;": "&amp;IF(I149="Yes","Available ("&amp;G149&amp;"/"&amp;IF(E149="",1,E149)&amp;" left)",IF(I149="Manual","Manual check",IF(ISNUMBER(H149),"0/"&amp;IF(E149="",1,E149)&amp;" left; resets "&amp;TEXT(H149,"yyyy-mm-dd"),"Used"))))</x:f>
      </x:c>
      <x:c r="K149" s="18"/>
      <x:c r="L149" s="18" t="str">
        <x:v>Yes</x:v>
      </x:c>
      <x:c r="M149" s="18" t="str">
        <x:f>IF(A149="","",A149&amp;"|"&amp;B149)</x:f>
      </x:c>
      <x:c r="N149" s="18"/>
    </x:row>
    <x:row r="150">
      <x:c r="A150" s="18"/>
      <x:c r="B150" s="18"/>
      <x:c r="C150" s="18"/>
      <x:c r="D150" s="19"/>
      <x:c r="E150" s="20"/>
      <x:c r="F150" s="20"/>
      <x:c r="G150" s="20" t="str">
        <x:f>IF(A150="","",IF(C150="Manual","Manual",MAX(0,IF(E150="",1,E150)-IF(OR(D150="",D150&lt;SWITCH(C150,"Daily",TODAY(),"Weekly",IFERROR(VLOOKUP(A150,'VIP Signups'!$A$5:$B$204,2,FALSE)+INT((TODAY()-VLOOKUP(A150,'VIP Signups'!$A$5:$B$204,2,FALSE))/7)*7,TODAY()),"Monthly",IFERROR(EDATE(VLOOKUP(A150,'VIP Signups'!$A$5:$B$204,2,FALSE),DATEDIF(VLOOKUP(A150,'VIP Signups'!$A$5:$B$204,2,FALSE),TODAY(),"M")),TODAY()),"Quarterly",IFERROR(EDATE(VLOOKUP(A150,'VIP Signups'!$A$5:$B$204,2,FALSE),INT(DATEDIF(VLOOKUP(A150,'VIP Signups'!$A$5:$B$204,2,FALSE),TODAY(),"M")/3)*3),TODAY()),"Yearly",IFERROR(EDATE(VLOOKUP(A150,'VIP Signups'!$A$5:$B$204,2,FALSE),DATEDIF(VLOOKUP(A150,'VIP Signups'!$A$5:$B$204,2,FALSE),TODAY(),"Y")*12),TODAY()),"One-time",IFERROR(VLOOKUP(A150,'VIP Signups'!$A$5:$B$204,2,FALSE),D150),"Manual",TODAY(),TODAY())),0,IF(F150="",0,F150)))))</x:f>
      </x:c>
      <x:c r="H150" s="19" t="str">
        <x:f>IF(A150="","",SWITCH(C150,"Daily",TODAY()+1,"Weekly",IFERROR(VLOOKUP(A150,'VIP Signups'!$A$5:$B$204,2,FALSE)+CEILING((TODAY()-VLOOKUP(A150,'VIP Signups'!$A$5:$B$204,2,FALSE)+1)/7,1)*7,D150+7),"Monthly",IFERROR(EDATE(VLOOKUP(A150,'VIP Signups'!$A$5:$B$204,2,FALSE),DATEDIF(VLOOKUP(A150,'VIP Signups'!$A$5:$B$204,2,FALSE),TODAY(),"M")+1),EDATE(D150,1)),"Quarterly",IFERROR(EDATE(VLOOKUP(A150,'VIP Signups'!$A$5:$B$204,2,FALSE),(INT(DATEDIF(VLOOKUP(A150,'VIP Signups'!$A$5:$B$204,2,FALSE),TODAY(),"M")/3)+1)*3),EDATE(D150,3)),"Yearly",IFERROR(EDATE(VLOOKUP(A150,'VIP Signups'!$A$5:$B$204,2,FALSE),(DATEDIF(VLOOKUP(A150,'VIP Signups'!$A$5:$B$204,2,FALSE),TODAY(),"Y")+1)*12),EDATE(D150,12)),"One-time","Used","Manual","Manual",""))</x:f>
      </x:c>
      <x:c r="I150" s="18" t="str">
        <x:f>IF(A150="","",IF(G150="Manual","Manual",IF(G150&gt;0,"Yes","No")))</x:f>
      </x:c>
      <x:c r="J150" s="18" t="str">
        <x:f>IF(A150="","",B150&amp;": "&amp;IF(I150="Yes","Available ("&amp;G150&amp;"/"&amp;IF(E150="",1,E150)&amp;" left)",IF(I150="Manual","Manual check",IF(ISNUMBER(H150),"0/"&amp;IF(E150="",1,E150)&amp;" left; resets "&amp;TEXT(H150,"yyyy-mm-dd"),"Used"))))</x:f>
      </x:c>
      <x:c r="K150" s="18"/>
      <x:c r="L150" s="18" t="str">
        <x:v>Yes</x:v>
      </x:c>
      <x:c r="M150" s="18" t="str">
        <x:f>IF(A150="","",A150&amp;"|"&amp;B150)</x:f>
      </x:c>
      <x:c r="N150" s="18"/>
    </x:row>
    <x:row r="151">
      <x:c r="A151" s="18"/>
      <x:c r="B151" s="18"/>
      <x:c r="C151" s="18"/>
      <x:c r="D151" s="19"/>
      <x:c r="E151" s="20"/>
      <x:c r="F151" s="20"/>
      <x:c r="G151" s="20" t="str">
        <x:f>IF(A151="","",IF(C151="Manual","Manual",MAX(0,IF(E151="",1,E151)-IF(OR(D151="",D151&lt;SWITCH(C151,"Daily",TODAY(),"Weekly",IFERROR(VLOOKUP(A151,'VIP Signups'!$A$5:$B$204,2,FALSE)+INT((TODAY()-VLOOKUP(A151,'VIP Signups'!$A$5:$B$204,2,FALSE))/7)*7,TODAY()),"Monthly",IFERROR(EDATE(VLOOKUP(A151,'VIP Signups'!$A$5:$B$204,2,FALSE),DATEDIF(VLOOKUP(A151,'VIP Signups'!$A$5:$B$204,2,FALSE),TODAY(),"M")),TODAY()),"Quarterly",IFERROR(EDATE(VLOOKUP(A151,'VIP Signups'!$A$5:$B$204,2,FALSE),INT(DATEDIF(VLOOKUP(A151,'VIP Signups'!$A$5:$B$204,2,FALSE),TODAY(),"M")/3)*3),TODAY()),"Yearly",IFERROR(EDATE(VLOOKUP(A151,'VIP Signups'!$A$5:$B$204,2,FALSE),DATEDIF(VLOOKUP(A151,'VIP Signups'!$A$5:$B$204,2,FALSE),TODAY(),"Y")*12),TODAY()),"One-time",IFERROR(VLOOKUP(A151,'VIP Signups'!$A$5:$B$204,2,FALSE),D151),"Manual",TODAY(),TODAY())),0,IF(F151="",0,F151)))))</x:f>
      </x:c>
      <x:c r="H151" s="19" t="str">
        <x:f>IF(A151="","",SWITCH(C151,"Daily",TODAY()+1,"Weekly",IFERROR(VLOOKUP(A151,'VIP Signups'!$A$5:$B$204,2,FALSE)+CEILING((TODAY()-VLOOKUP(A151,'VIP Signups'!$A$5:$B$204,2,FALSE)+1)/7,1)*7,D151+7),"Monthly",IFERROR(EDATE(VLOOKUP(A151,'VIP Signups'!$A$5:$B$204,2,FALSE),DATEDIF(VLOOKUP(A151,'VIP Signups'!$A$5:$B$204,2,FALSE),TODAY(),"M")+1),EDATE(D151,1)),"Quarterly",IFERROR(EDATE(VLOOKUP(A151,'VIP Signups'!$A$5:$B$204,2,FALSE),(INT(DATEDIF(VLOOKUP(A151,'VIP Signups'!$A$5:$B$204,2,FALSE),TODAY(),"M")/3)+1)*3),EDATE(D151,3)),"Yearly",IFERROR(EDATE(VLOOKUP(A151,'VIP Signups'!$A$5:$B$204,2,FALSE),(DATEDIF(VLOOKUP(A151,'VIP Signups'!$A$5:$B$204,2,FALSE),TODAY(),"Y")+1)*12),EDATE(D151,12)),"One-time","Used","Manual","Manual",""))</x:f>
      </x:c>
      <x:c r="I151" s="18" t="str">
        <x:f>IF(A151="","",IF(G151="Manual","Manual",IF(G151&gt;0,"Yes","No")))</x:f>
      </x:c>
      <x:c r="J151" s="18" t="str">
        <x:f>IF(A151="","",B151&amp;": "&amp;IF(I151="Yes","Available ("&amp;G151&amp;"/"&amp;IF(E151="",1,E151)&amp;" left)",IF(I151="Manual","Manual check",IF(ISNUMBER(H151),"0/"&amp;IF(E151="",1,E151)&amp;" left; resets "&amp;TEXT(H151,"yyyy-mm-dd"),"Used"))))</x:f>
      </x:c>
      <x:c r="K151" s="18"/>
      <x:c r="L151" s="18" t="str">
        <x:v>Yes</x:v>
      </x:c>
      <x:c r="M151" s="18" t="str">
        <x:f>IF(A151="","",A151&amp;"|"&amp;B151)</x:f>
      </x:c>
      <x:c r="N151" s="18"/>
    </x:row>
    <x:row r="152">
      <x:c r="A152" s="18"/>
      <x:c r="B152" s="18"/>
      <x:c r="C152" s="18"/>
      <x:c r="D152" s="19"/>
      <x:c r="E152" s="20"/>
      <x:c r="F152" s="20"/>
      <x:c r="G152" s="20" t="str">
        <x:f>IF(A152="","",IF(C152="Manual","Manual",MAX(0,IF(E152="",1,E152)-IF(OR(D152="",D152&lt;SWITCH(C152,"Daily",TODAY(),"Weekly",IFERROR(VLOOKUP(A152,'VIP Signups'!$A$5:$B$204,2,FALSE)+INT((TODAY()-VLOOKUP(A152,'VIP Signups'!$A$5:$B$204,2,FALSE))/7)*7,TODAY()),"Monthly",IFERROR(EDATE(VLOOKUP(A152,'VIP Signups'!$A$5:$B$204,2,FALSE),DATEDIF(VLOOKUP(A152,'VIP Signups'!$A$5:$B$204,2,FALSE),TODAY(),"M")),TODAY()),"Quarterly",IFERROR(EDATE(VLOOKUP(A152,'VIP Signups'!$A$5:$B$204,2,FALSE),INT(DATEDIF(VLOOKUP(A152,'VIP Signups'!$A$5:$B$204,2,FALSE),TODAY(),"M")/3)*3),TODAY()),"Yearly",IFERROR(EDATE(VLOOKUP(A152,'VIP Signups'!$A$5:$B$204,2,FALSE),DATEDIF(VLOOKUP(A152,'VIP Signups'!$A$5:$B$204,2,FALSE),TODAY(),"Y")*12),TODAY()),"One-time",IFERROR(VLOOKUP(A152,'VIP Signups'!$A$5:$B$204,2,FALSE),D152),"Manual",TODAY(),TODAY())),0,IF(F152="",0,F152)))))</x:f>
      </x:c>
      <x:c r="H152" s="19" t="str">
        <x:f>IF(A152="","",SWITCH(C152,"Daily",TODAY()+1,"Weekly",IFERROR(VLOOKUP(A152,'VIP Signups'!$A$5:$B$204,2,FALSE)+CEILING((TODAY()-VLOOKUP(A152,'VIP Signups'!$A$5:$B$204,2,FALSE)+1)/7,1)*7,D152+7),"Monthly",IFERROR(EDATE(VLOOKUP(A152,'VIP Signups'!$A$5:$B$204,2,FALSE),DATEDIF(VLOOKUP(A152,'VIP Signups'!$A$5:$B$204,2,FALSE),TODAY(),"M")+1),EDATE(D152,1)),"Quarterly",IFERROR(EDATE(VLOOKUP(A152,'VIP Signups'!$A$5:$B$204,2,FALSE),(INT(DATEDIF(VLOOKUP(A152,'VIP Signups'!$A$5:$B$204,2,FALSE),TODAY(),"M")/3)+1)*3),EDATE(D152,3)),"Yearly",IFERROR(EDATE(VLOOKUP(A152,'VIP Signups'!$A$5:$B$204,2,FALSE),(DATEDIF(VLOOKUP(A152,'VIP Signups'!$A$5:$B$204,2,FALSE),TODAY(),"Y")+1)*12),EDATE(D152,12)),"One-time","Used","Manual","Manual",""))</x:f>
      </x:c>
      <x:c r="I152" s="18" t="str">
        <x:f>IF(A152="","",IF(G152="Manual","Manual",IF(G152&gt;0,"Yes","No")))</x:f>
      </x:c>
      <x:c r="J152" s="18" t="str">
        <x:f>IF(A152="","",B152&amp;": "&amp;IF(I152="Yes","Available ("&amp;G152&amp;"/"&amp;IF(E152="",1,E152)&amp;" left)",IF(I152="Manual","Manual check",IF(ISNUMBER(H152),"0/"&amp;IF(E152="",1,E152)&amp;" left; resets "&amp;TEXT(H152,"yyyy-mm-dd"),"Used"))))</x:f>
      </x:c>
      <x:c r="K152" s="18"/>
      <x:c r="L152" s="18" t="str">
        <x:v>Yes</x:v>
      </x:c>
      <x:c r="M152" s="18" t="str">
        <x:f>IF(A152="","",A152&amp;"|"&amp;B152)</x:f>
      </x:c>
      <x:c r="N152" s="18"/>
    </x:row>
    <x:row r="153">
      <x:c r="A153" s="18"/>
      <x:c r="B153" s="18"/>
      <x:c r="C153" s="18"/>
      <x:c r="D153" s="19"/>
      <x:c r="E153" s="20"/>
      <x:c r="F153" s="20"/>
      <x:c r="G153" s="20" t="str">
        <x:f>IF(A153="","",IF(C153="Manual","Manual",MAX(0,IF(E153="",1,E153)-IF(OR(D153="",D153&lt;SWITCH(C153,"Daily",TODAY(),"Weekly",IFERROR(VLOOKUP(A153,'VIP Signups'!$A$5:$B$204,2,FALSE)+INT((TODAY()-VLOOKUP(A153,'VIP Signups'!$A$5:$B$204,2,FALSE))/7)*7,TODAY()),"Monthly",IFERROR(EDATE(VLOOKUP(A153,'VIP Signups'!$A$5:$B$204,2,FALSE),DATEDIF(VLOOKUP(A153,'VIP Signups'!$A$5:$B$204,2,FALSE),TODAY(),"M")),TODAY()),"Quarterly",IFERROR(EDATE(VLOOKUP(A153,'VIP Signups'!$A$5:$B$204,2,FALSE),INT(DATEDIF(VLOOKUP(A153,'VIP Signups'!$A$5:$B$204,2,FALSE),TODAY(),"M")/3)*3),TODAY()),"Yearly",IFERROR(EDATE(VLOOKUP(A153,'VIP Signups'!$A$5:$B$204,2,FALSE),DATEDIF(VLOOKUP(A153,'VIP Signups'!$A$5:$B$204,2,FALSE),TODAY(),"Y")*12),TODAY()),"One-time",IFERROR(VLOOKUP(A153,'VIP Signups'!$A$5:$B$204,2,FALSE),D153),"Manual",TODAY(),TODAY())),0,IF(F153="",0,F153)))))</x:f>
      </x:c>
      <x:c r="H153" s="19" t="str">
        <x:f>IF(A153="","",SWITCH(C153,"Daily",TODAY()+1,"Weekly",IFERROR(VLOOKUP(A153,'VIP Signups'!$A$5:$B$204,2,FALSE)+CEILING((TODAY()-VLOOKUP(A153,'VIP Signups'!$A$5:$B$204,2,FALSE)+1)/7,1)*7,D153+7),"Monthly",IFERROR(EDATE(VLOOKUP(A153,'VIP Signups'!$A$5:$B$204,2,FALSE),DATEDIF(VLOOKUP(A153,'VIP Signups'!$A$5:$B$204,2,FALSE),TODAY(),"M")+1),EDATE(D153,1)),"Quarterly",IFERROR(EDATE(VLOOKUP(A153,'VIP Signups'!$A$5:$B$204,2,FALSE),(INT(DATEDIF(VLOOKUP(A153,'VIP Signups'!$A$5:$B$204,2,FALSE),TODAY(),"M")/3)+1)*3),EDATE(D153,3)),"Yearly",IFERROR(EDATE(VLOOKUP(A153,'VIP Signups'!$A$5:$B$204,2,FALSE),(DATEDIF(VLOOKUP(A153,'VIP Signups'!$A$5:$B$204,2,FALSE),TODAY(),"Y")+1)*12),EDATE(D153,12)),"One-time","Used","Manual","Manual",""))</x:f>
      </x:c>
      <x:c r="I153" s="18" t="str">
        <x:f>IF(A153="","",IF(G153="Manual","Manual",IF(G153&gt;0,"Yes","No")))</x:f>
      </x:c>
      <x:c r="J153" s="18" t="str">
        <x:f>IF(A153="","",B153&amp;": "&amp;IF(I153="Yes","Available ("&amp;G153&amp;"/"&amp;IF(E153="",1,E153)&amp;" left)",IF(I153="Manual","Manual check",IF(ISNUMBER(H153),"0/"&amp;IF(E153="",1,E153)&amp;" left; resets "&amp;TEXT(H153,"yyyy-mm-dd"),"Used"))))</x:f>
      </x:c>
      <x:c r="K153" s="18"/>
      <x:c r="L153" s="18" t="str">
        <x:v>Yes</x:v>
      </x:c>
      <x:c r="M153" s="18" t="str">
        <x:f>IF(A153="","",A153&amp;"|"&amp;B153)</x:f>
      </x:c>
      <x:c r="N153" s="18"/>
    </x:row>
    <x:row r="154">
      <x:c r="A154" s="18"/>
      <x:c r="B154" s="18"/>
      <x:c r="C154" s="18"/>
      <x:c r="D154" s="19"/>
      <x:c r="E154" s="20"/>
      <x:c r="F154" s="20"/>
      <x:c r="G154" s="20" t="str">
        <x:f>IF(A154="","",IF(C154="Manual","Manual",MAX(0,IF(E154="",1,E154)-IF(OR(D154="",D154&lt;SWITCH(C154,"Daily",TODAY(),"Weekly",IFERROR(VLOOKUP(A154,'VIP Signups'!$A$5:$B$204,2,FALSE)+INT((TODAY()-VLOOKUP(A154,'VIP Signups'!$A$5:$B$204,2,FALSE))/7)*7,TODAY()),"Monthly",IFERROR(EDATE(VLOOKUP(A154,'VIP Signups'!$A$5:$B$204,2,FALSE),DATEDIF(VLOOKUP(A154,'VIP Signups'!$A$5:$B$204,2,FALSE),TODAY(),"M")),TODAY()),"Quarterly",IFERROR(EDATE(VLOOKUP(A154,'VIP Signups'!$A$5:$B$204,2,FALSE),INT(DATEDIF(VLOOKUP(A154,'VIP Signups'!$A$5:$B$204,2,FALSE),TODAY(),"M")/3)*3),TODAY()),"Yearly",IFERROR(EDATE(VLOOKUP(A154,'VIP Signups'!$A$5:$B$204,2,FALSE),DATEDIF(VLOOKUP(A154,'VIP Signups'!$A$5:$B$204,2,FALSE),TODAY(),"Y")*12),TODAY()),"One-time",IFERROR(VLOOKUP(A154,'VIP Signups'!$A$5:$B$204,2,FALSE),D154),"Manual",TODAY(),TODAY())),0,IF(F154="",0,F154)))))</x:f>
      </x:c>
      <x:c r="H154" s="19" t="str">
        <x:f>IF(A154="","",SWITCH(C154,"Daily",TODAY()+1,"Weekly",IFERROR(VLOOKUP(A154,'VIP Signups'!$A$5:$B$204,2,FALSE)+CEILING((TODAY()-VLOOKUP(A154,'VIP Signups'!$A$5:$B$204,2,FALSE)+1)/7,1)*7,D154+7),"Monthly",IFERROR(EDATE(VLOOKUP(A154,'VIP Signups'!$A$5:$B$204,2,FALSE),DATEDIF(VLOOKUP(A154,'VIP Signups'!$A$5:$B$204,2,FALSE),TODAY(),"M")+1),EDATE(D154,1)),"Quarterly",IFERROR(EDATE(VLOOKUP(A154,'VIP Signups'!$A$5:$B$204,2,FALSE),(INT(DATEDIF(VLOOKUP(A154,'VIP Signups'!$A$5:$B$204,2,FALSE),TODAY(),"M")/3)+1)*3),EDATE(D154,3)),"Yearly",IFERROR(EDATE(VLOOKUP(A154,'VIP Signups'!$A$5:$B$204,2,FALSE),(DATEDIF(VLOOKUP(A154,'VIP Signups'!$A$5:$B$204,2,FALSE),TODAY(),"Y")+1)*12),EDATE(D154,12)),"One-time","Used","Manual","Manual",""))</x:f>
      </x:c>
      <x:c r="I154" s="18" t="str">
        <x:f>IF(A154="","",IF(G154="Manual","Manual",IF(G154&gt;0,"Yes","No")))</x:f>
      </x:c>
      <x:c r="J154" s="18" t="str">
        <x:f>IF(A154="","",B154&amp;": "&amp;IF(I154="Yes","Available ("&amp;G154&amp;"/"&amp;IF(E154="",1,E154)&amp;" left)",IF(I154="Manual","Manual check",IF(ISNUMBER(H154),"0/"&amp;IF(E154="",1,E154)&amp;" left; resets "&amp;TEXT(H154,"yyyy-mm-dd"),"Used"))))</x:f>
      </x:c>
      <x:c r="K154" s="18"/>
      <x:c r="L154" s="18" t="str">
        <x:v>Yes</x:v>
      </x:c>
      <x:c r="M154" s="18" t="str">
        <x:f>IF(A154="","",A154&amp;"|"&amp;B154)</x:f>
      </x:c>
      <x:c r="N154" s="18"/>
    </x:row>
    <x:row r="155">
      <x:c r="A155" s="18"/>
      <x:c r="B155" s="18"/>
      <x:c r="C155" s="18"/>
      <x:c r="D155" s="19"/>
      <x:c r="E155" s="20"/>
      <x:c r="F155" s="20"/>
      <x:c r="G155" s="20" t="str">
        <x:f>IF(A155="","",IF(C155="Manual","Manual",MAX(0,IF(E155="",1,E155)-IF(OR(D155="",D155&lt;SWITCH(C155,"Daily",TODAY(),"Weekly",IFERROR(VLOOKUP(A155,'VIP Signups'!$A$5:$B$204,2,FALSE)+INT((TODAY()-VLOOKUP(A155,'VIP Signups'!$A$5:$B$204,2,FALSE))/7)*7,TODAY()),"Monthly",IFERROR(EDATE(VLOOKUP(A155,'VIP Signups'!$A$5:$B$204,2,FALSE),DATEDIF(VLOOKUP(A155,'VIP Signups'!$A$5:$B$204,2,FALSE),TODAY(),"M")),TODAY()),"Quarterly",IFERROR(EDATE(VLOOKUP(A155,'VIP Signups'!$A$5:$B$204,2,FALSE),INT(DATEDIF(VLOOKUP(A155,'VIP Signups'!$A$5:$B$204,2,FALSE),TODAY(),"M")/3)*3),TODAY()),"Yearly",IFERROR(EDATE(VLOOKUP(A155,'VIP Signups'!$A$5:$B$204,2,FALSE),DATEDIF(VLOOKUP(A155,'VIP Signups'!$A$5:$B$204,2,FALSE),TODAY(),"Y")*12),TODAY()),"One-time",IFERROR(VLOOKUP(A155,'VIP Signups'!$A$5:$B$204,2,FALSE),D155),"Manual",TODAY(),TODAY())),0,IF(F155="",0,F155)))))</x:f>
      </x:c>
      <x:c r="H155" s="19" t="str">
        <x:f>IF(A155="","",SWITCH(C155,"Daily",TODAY()+1,"Weekly",IFERROR(VLOOKUP(A155,'VIP Signups'!$A$5:$B$204,2,FALSE)+CEILING((TODAY()-VLOOKUP(A155,'VIP Signups'!$A$5:$B$204,2,FALSE)+1)/7,1)*7,D155+7),"Monthly",IFERROR(EDATE(VLOOKUP(A155,'VIP Signups'!$A$5:$B$204,2,FALSE),DATEDIF(VLOOKUP(A155,'VIP Signups'!$A$5:$B$204,2,FALSE),TODAY(),"M")+1),EDATE(D155,1)),"Quarterly",IFERROR(EDATE(VLOOKUP(A155,'VIP Signups'!$A$5:$B$204,2,FALSE),(INT(DATEDIF(VLOOKUP(A155,'VIP Signups'!$A$5:$B$204,2,FALSE),TODAY(),"M")/3)+1)*3),EDATE(D155,3)),"Yearly",IFERROR(EDATE(VLOOKUP(A155,'VIP Signups'!$A$5:$B$204,2,FALSE),(DATEDIF(VLOOKUP(A155,'VIP Signups'!$A$5:$B$204,2,FALSE),TODAY(),"Y")+1)*12),EDATE(D155,12)),"One-time","Used","Manual","Manual",""))</x:f>
      </x:c>
      <x:c r="I155" s="18" t="str">
        <x:f>IF(A155="","",IF(G155="Manual","Manual",IF(G155&gt;0,"Yes","No")))</x:f>
      </x:c>
      <x:c r="J155" s="18" t="str">
        <x:f>IF(A155="","",B155&amp;": "&amp;IF(I155="Yes","Available ("&amp;G155&amp;"/"&amp;IF(E155="",1,E155)&amp;" left)",IF(I155="Manual","Manual check",IF(ISNUMBER(H155),"0/"&amp;IF(E155="",1,E155)&amp;" left; resets "&amp;TEXT(H155,"yyyy-mm-dd"),"Used"))))</x:f>
      </x:c>
      <x:c r="K155" s="18"/>
      <x:c r="L155" s="18" t="str">
        <x:v>Yes</x:v>
      </x:c>
      <x:c r="M155" s="18" t="str">
        <x:f>IF(A155="","",A155&amp;"|"&amp;B155)</x:f>
      </x:c>
      <x:c r="N155" s="18"/>
    </x:row>
    <x:row r="156">
      <x:c r="A156" s="18"/>
      <x:c r="B156" s="18"/>
      <x:c r="C156" s="18"/>
      <x:c r="D156" s="19"/>
      <x:c r="E156" s="20"/>
      <x:c r="F156" s="20"/>
      <x:c r="G156" s="20" t="str">
        <x:f>IF(A156="","",IF(C156="Manual","Manual",MAX(0,IF(E156="",1,E156)-IF(OR(D156="",D156&lt;SWITCH(C156,"Daily",TODAY(),"Weekly",IFERROR(VLOOKUP(A156,'VIP Signups'!$A$5:$B$204,2,FALSE)+INT((TODAY()-VLOOKUP(A156,'VIP Signups'!$A$5:$B$204,2,FALSE))/7)*7,TODAY()),"Monthly",IFERROR(EDATE(VLOOKUP(A156,'VIP Signups'!$A$5:$B$204,2,FALSE),DATEDIF(VLOOKUP(A156,'VIP Signups'!$A$5:$B$204,2,FALSE),TODAY(),"M")),TODAY()),"Quarterly",IFERROR(EDATE(VLOOKUP(A156,'VIP Signups'!$A$5:$B$204,2,FALSE),INT(DATEDIF(VLOOKUP(A156,'VIP Signups'!$A$5:$B$204,2,FALSE),TODAY(),"M")/3)*3),TODAY()),"Yearly",IFERROR(EDATE(VLOOKUP(A156,'VIP Signups'!$A$5:$B$204,2,FALSE),DATEDIF(VLOOKUP(A156,'VIP Signups'!$A$5:$B$204,2,FALSE),TODAY(),"Y")*12),TODAY()),"One-time",IFERROR(VLOOKUP(A156,'VIP Signups'!$A$5:$B$204,2,FALSE),D156),"Manual",TODAY(),TODAY())),0,IF(F156="",0,F156)))))</x:f>
      </x:c>
      <x:c r="H156" s="19" t="str">
        <x:f>IF(A156="","",SWITCH(C156,"Daily",TODAY()+1,"Weekly",IFERROR(VLOOKUP(A156,'VIP Signups'!$A$5:$B$204,2,FALSE)+CEILING((TODAY()-VLOOKUP(A156,'VIP Signups'!$A$5:$B$204,2,FALSE)+1)/7,1)*7,D156+7),"Monthly",IFERROR(EDATE(VLOOKUP(A156,'VIP Signups'!$A$5:$B$204,2,FALSE),DATEDIF(VLOOKUP(A156,'VIP Signups'!$A$5:$B$204,2,FALSE),TODAY(),"M")+1),EDATE(D156,1)),"Quarterly",IFERROR(EDATE(VLOOKUP(A156,'VIP Signups'!$A$5:$B$204,2,FALSE),(INT(DATEDIF(VLOOKUP(A156,'VIP Signups'!$A$5:$B$204,2,FALSE),TODAY(),"M")/3)+1)*3),EDATE(D156,3)),"Yearly",IFERROR(EDATE(VLOOKUP(A156,'VIP Signups'!$A$5:$B$204,2,FALSE),(DATEDIF(VLOOKUP(A156,'VIP Signups'!$A$5:$B$204,2,FALSE),TODAY(),"Y")+1)*12),EDATE(D156,12)),"One-time","Used","Manual","Manual",""))</x:f>
      </x:c>
      <x:c r="I156" s="18" t="str">
        <x:f>IF(A156="","",IF(G156="Manual","Manual",IF(G156&gt;0,"Yes","No")))</x:f>
      </x:c>
      <x:c r="J156" s="18" t="str">
        <x:f>IF(A156="","",B156&amp;": "&amp;IF(I156="Yes","Available ("&amp;G156&amp;"/"&amp;IF(E156="",1,E156)&amp;" left)",IF(I156="Manual","Manual check",IF(ISNUMBER(H156),"0/"&amp;IF(E156="",1,E156)&amp;" left; resets "&amp;TEXT(H156,"yyyy-mm-dd"),"Used"))))</x:f>
      </x:c>
      <x:c r="K156" s="18"/>
      <x:c r="L156" s="18" t="str">
        <x:v>Yes</x:v>
      </x:c>
      <x:c r="M156" s="18" t="str">
        <x:f>IF(A156="","",A156&amp;"|"&amp;B156)</x:f>
      </x:c>
      <x:c r="N156" s="18"/>
    </x:row>
    <x:row r="157">
      <x:c r="A157" s="18"/>
      <x:c r="B157" s="18"/>
      <x:c r="C157" s="18"/>
      <x:c r="D157" s="19"/>
      <x:c r="E157" s="20"/>
      <x:c r="F157" s="20"/>
      <x:c r="G157" s="20" t="str">
        <x:f>IF(A157="","",IF(C157="Manual","Manual",MAX(0,IF(E157="",1,E157)-IF(OR(D157="",D157&lt;SWITCH(C157,"Daily",TODAY(),"Weekly",IFERROR(VLOOKUP(A157,'VIP Signups'!$A$5:$B$204,2,FALSE)+INT((TODAY()-VLOOKUP(A157,'VIP Signups'!$A$5:$B$204,2,FALSE))/7)*7,TODAY()),"Monthly",IFERROR(EDATE(VLOOKUP(A157,'VIP Signups'!$A$5:$B$204,2,FALSE),DATEDIF(VLOOKUP(A157,'VIP Signups'!$A$5:$B$204,2,FALSE),TODAY(),"M")),TODAY()),"Quarterly",IFERROR(EDATE(VLOOKUP(A157,'VIP Signups'!$A$5:$B$204,2,FALSE),INT(DATEDIF(VLOOKUP(A157,'VIP Signups'!$A$5:$B$204,2,FALSE),TODAY(),"M")/3)*3),TODAY()),"Yearly",IFERROR(EDATE(VLOOKUP(A157,'VIP Signups'!$A$5:$B$204,2,FALSE),DATEDIF(VLOOKUP(A157,'VIP Signups'!$A$5:$B$204,2,FALSE),TODAY(),"Y")*12),TODAY()),"One-time",IFERROR(VLOOKUP(A157,'VIP Signups'!$A$5:$B$204,2,FALSE),D157),"Manual",TODAY(),TODAY())),0,IF(F157="",0,F157)))))</x:f>
      </x:c>
      <x:c r="H157" s="19" t="str">
        <x:f>IF(A157="","",SWITCH(C157,"Daily",TODAY()+1,"Weekly",IFERROR(VLOOKUP(A157,'VIP Signups'!$A$5:$B$204,2,FALSE)+CEILING((TODAY()-VLOOKUP(A157,'VIP Signups'!$A$5:$B$204,2,FALSE)+1)/7,1)*7,D157+7),"Monthly",IFERROR(EDATE(VLOOKUP(A157,'VIP Signups'!$A$5:$B$204,2,FALSE),DATEDIF(VLOOKUP(A157,'VIP Signups'!$A$5:$B$204,2,FALSE),TODAY(),"M")+1),EDATE(D157,1)),"Quarterly",IFERROR(EDATE(VLOOKUP(A157,'VIP Signups'!$A$5:$B$204,2,FALSE),(INT(DATEDIF(VLOOKUP(A157,'VIP Signups'!$A$5:$B$204,2,FALSE),TODAY(),"M")/3)+1)*3),EDATE(D157,3)),"Yearly",IFERROR(EDATE(VLOOKUP(A157,'VIP Signups'!$A$5:$B$204,2,FALSE),(DATEDIF(VLOOKUP(A157,'VIP Signups'!$A$5:$B$204,2,FALSE),TODAY(),"Y")+1)*12),EDATE(D157,12)),"One-time","Used","Manual","Manual",""))</x:f>
      </x:c>
      <x:c r="I157" s="18" t="str">
        <x:f>IF(A157="","",IF(G157="Manual","Manual",IF(G157&gt;0,"Yes","No")))</x:f>
      </x:c>
      <x:c r="J157" s="18" t="str">
        <x:f>IF(A157="","",B157&amp;": "&amp;IF(I157="Yes","Available ("&amp;G157&amp;"/"&amp;IF(E157="",1,E157)&amp;" left)",IF(I157="Manual","Manual check",IF(ISNUMBER(H157),"0/"&amp;IF(E157="",1,E157)&amp;" left; resets "&amp;TEXT(H157,"yyyy-mm-dd"),"Used"))))</x:f>
      </x:c>
      <x:c r="K157" s="18"/>
      <x:c r="L157" s="18" t="str">
        <x:v>Yes</x:v>
      </x:c>
      <x:c r="M157" s="18" t="str">
        <x:f>IF(A157="","",A157&amp;"|"&amp;B157)</x:f>
      </x:c>
      <x:c r="N157" s="18"/>
    </x:row>
    <x:row r="158">
      <x:c r="A158" s="18"/>
      <x:c r="B158" s="18"/>
      <x:c r="C158" s="18"/>
      <x:c r="D158" s="19"/>
      <x:c r="E158" s="20"/>
      <x:c r="F158" s="20"/>
      <x:c r="G158" s="20" t="str">
        <x:f>IF(A158="","",IF(C158="Manual","Manual",MAX(0,IF(E158="",1,E158)-IF(OR(D158="",D158&lt;SWITCH(C158,"Daily",TODAY(),"Weekly",IFERROR(VLOOKUP(A158,'VIP Signups'!$A$5:$B$204,2,FALSE)+INT((TODAY()-VLOOKUP(A158,'VIP Signups'!$A$5:$B$204,2,FALSE))/7)*7,TODAY()),"Monthly",IFERROR(EDATE(VLOOKUP(A158,'VIP Signups'!$A$5:$B$204,2,FALSE),DATEDIF(VLOOKUP(A158,'VIP Signups'!$A$5:$B$204,2,FALSE),TODAY(),"M")),TODAY()),"Quarterly",IFERROR(EDATE(VLOOKUP(A158,'VIP Signups'!$A$5:$B$204,2,FALSE),INT(DATEDIF(VLOOKUP(A158,'VIP Signups'!$A$5:$B$204,2,FALSE),TODAY(),"M")/3)*3),TODAY()),"Yearly",IFERROR(EDATE(VLOOKUP(A158,'VIP Signups'!$A$5:$B$204,2,FALSE),DATEDIF(VLOOKUP(A158,'VIP Signups'!$A$5:$B$204,2,FALSE),TODAY(),"Y")*12),TODAY()),"One-time",IFERROR(VLOOKUP(A158,'VIP Signups'!$A$5:$B$204,2,FALSE),D158),"Manual",TODAY(),TODAY())),0,IF(F158="",0,F158)))))</x:f>
      </x:c>
      <x:c r="H158" s="19" t="str">
        <x:f>IF(A158="","",SWITCH(C158,"Daily",TODAY()+1,"Weekly",IFERROR(VLOOKUP(A158,'VIP Signups'!$A$5:$B$204,2,FALSE)+CEILING((TODAY()-VLOOKUP(A158,'VIP Signups'!$A$5:$B$204,2,FALSE)+1)/7,1)*7,D158+7),"Monthly",IFERROR(EDATE(VLOOKUP(A158,'VIP Signups'!$A$5:$B$204,2,FALSE),DATEDIF(VLOOKUP(A158,'VIP Signups'!$A$5:$B$204,2,FALSE),TODAY(),"M")+1),EDATE(D158,1)),"Quarterly",IFERROR(EDATE(VLOOKUP(A158,'VIP Signups'!$A$5:$B$204,2,FALSE),(INT(DATEDIF(VLOOKUP(A158,'VIP Signups'!$A$5:$B$204,2,FALSE),TODAY(),"M")/3)+1)*3),EDATE(D158,3)),"Yearly",IFERROR(EDATE(VLOOKUP(A158,'VIP Signups'!$A$5:$B$204,2,FALSE),(DATEDIF(VLOOKUP(A158,'VIP Signups'!$A$5:$B$204,2,FALSE),TODAY(),"Y")+1)*12),EDATE(D158,12)),"One-time","Used","Manual","Manual",""))</x:f>
      </x:c>
      <x:c r="I158" s="18" t="str">
        <x:f>IF(A158="","",IF(G158="Manual","Manual",IF(G158&gt;0,"Yes","No")))</x:f>
      </x:c>
      <x:c r="J158" s="18" t="str">
        <x:f>IF(A158="","",B158&amp;": "&amp;IF(I158="Yes","Available ("&amp;G158&amp;"/"&amp;IF(E158="",1,E158)&amp;" left)",IF(I158="Manual","Manual check",IF(ISNUMBER(H158),"0/"&amp;IF(E158="",1,E158)&amp;" left; resets "&amp;TEXT(H158,"yyyy-mm-dd"),"Used"))))</x:f>
      </x:c>
      <x:c r="K158" s="18"/>
      <x:c r="L158" s="18" t="str">
        <x:v>Yes</x:v>
      </x:c>
      <x:c r="M158" s="18" t="str">
        <x:f>IF(A158="","",A158&amp;"|"&amp;B158)</x:f>
      </x:c>
      <x:c r="N158" s="18"/>
    </x:row>
    <x:row r="159">
      <x:c r="A159" s="18"/>
      <x:c r="B159" s="18"/>
      <x:c r="C159" s="18"/>
      <x:c r="D159" s="19"/>
      <x:c r="E159" s="20"/>
      <x:c r="F159" s="20"/>
      <x:c r="G159" s="20" t="str">
        <x:f>IF(A159="","",IF(C159="Manual","Manual",MAX(0,IF(E159="",1,E159)-IF(OR(D159="",D159&lt;SWITCH(C159,"Daily",TODAY(),"Weekly",IFERROR(VLOOKUP(A159,'VIP Signups'!$A$5:$B$204,2,FALSE)+INT((TODAY()-VLOOKUP(A159,'VIP Signups'!$A$5:$B$204,2,FALSE))/7)*7,TODAY()),"Monthly",IFERROR(EDATE(VLOOKUP(A159,'VIP Signups'!$A$5:$B$204,2,FALSE),DATEDIF(VLOOKUP(A159,'VIP Signups'!$A$5:$B$204,2,FALSE),TODAY(),"M")),TODAY()),"Quarterly",IFERROR(EDATE(VLOOKUP(A159,'VIP Signups'!$A$5:$B$204,2,FALSE),INT(DATEDIF(VLOOKUP(A159,'VIP Signups'!$A$5:$B$204,2,FALSE),TODAY(),"M")/3)*3),TODAY()),"Yearly",IFERROR(EDATE(VLOOKUP(A159,'VIP Signups'!$A$5:$B$204,2,FALSE),DATEDIF(VLOOKUP(A159,'VIP Signups'!$A$5:$B$204,2,FALSE),TODAY(),"Y")*12),TODAY()),"One-time",IFERROR(VLOOKUP(A159,'VIP Signups'!$A$5:$B$204,2,FALSE),D159),"Manual",TODAY(),TODAY())),0,IF(F159="",0,F159)))))</x:f>
      </x:c>
      <x:c r="H159" s="19" t="str">
        <x:f>IF(A159="","",SWITCH(C159,"Daily",TODAY()+1,"Weekly",IFERROR(VLOOKUP(A159,'VIP Signups'!$A$5:$B$204,2,FALSE)+CEILING((TODAY()-VLOOKUP(A159,'VIP Signups'!$A$5:$B$204,2,FALSE)+1)/7,1)*7,D159+7),"Monthly",IFERROR(EDATE(VLOOKUP(A159,'VIP Signups'!$A$5:$B$204,2,FALSE),DATEDIF(VLOOKUP(A159,'VIP Signups'!$A$5:$B$204,2,FALSE),TODAY(),"M")+1),EDATE(D159,1)),"Quarterly",IFERROR(EDATE(VLOOKUP(A159,'VIP Signups'!$A$5:$B$204,2,FALSE),(INT(DATEDIF(VLOOKUP(A159,'VIP Signups'!$A$5:$B$204,2,FALSE),TODAY(),"M")/3)+1)*3),EDATE(D159,3)),"Yearly",IFERROR(EDATE(VLOOKUP(A159,'VIP Signups'!$A$5:$B$204,2,FALSE),(DATEDIF(VLOOKUP(A159,'VIP Signups'!$A$5:$B$204,2,FALSE),TODAY(),"Y")+1)*12),EDATE(D159,12)),"One-time","Used","Manual","Manual",""))</x:f>
      </x:c>
      <x:c r="I159" s="18" t="str">
        <x:f>IF(A159="","",IF(G159="Manual","Manual",IF(G159&gt;0,"Yes","No")))</x:f>
      </x:c>
      <x:c r="J159" s="18" t="str">
        <x:f>IF(A159="","",B159&amp;": "&amp;IF(I159="Yes","Available ("&amp;G159&amp;"/"&amp;IF(E159="",1,E159)&amp;" left)",IF(I159="Manual","Manual check",IF(ISNUMBER(H159),"0/"&amp;IF(E159="",1,E159)&amp;" left; resets "&amp;TEXT(H159,"yyyy-mm-dd"),"Used"))))</x:f>
      </x:c>
      <x:c r="K159" s="18"/>
      <x:c r="L159" s="18" t="str">
        <x:v>Yes</x:v>
      </x:c>
      <x:c r="M159" s="18" t="str">
        <x:f>IF(A159="","",A159&amp;"|"&amp;B159)</x:f>
      </x:c>
      <x:c r="N159" s="18"/>
    </x:row>
    <x:row r="160">
      <x:c r="A160" s="18"/>
      <x:c r="B160" s="18"/>
      <x:c r="C160" s="18"/>
      <x:c r="D160" s="19"/>
      <x:c r="E160" s="20"/>
      <x:c r="F160" s="20"/>
      <x:c r="G160" s="20" t="str">
        <x:f>IF(A160="","",IF(C160="Manual","Manual",MAX(0,IF(E160="",1,E160)-IF(OR(D160="",D160&lt;SWITCH(C160,"Daily",TODAY(),"Weekly",IFERROR(VLOOKUP(A160,'VIP Signups'!$A$5:$B$204,2,FALSE)+INT((TODAY()-VLOOKUP(A160,'VIP Signups'!$A$5:$B$204,2,FALSE))/7)*7,TODAY()),"Monthly",IFERROR(EDATE(VLOOKUP(A160,'VIP Signups'!$A$5:$B$204,2,FALSE),DATEDIF(VLOOKUP(A160,'VIP Signups'!$A$5:$B$204,2,FALSE),TODAY(),"M")),TODAY()),"Quarterly",IFERROR(EDATE(VLOOKUP(A160,'VIP Signups'!$A$5:$B$204,2,FALSE),INT(DATEDIF(VLOOKUP(A160,'VIP Signups'!$A$5:$B$204,2,FALSE),TODAY(),"M")/3)*3),TODAY()),"Yearly",IFERROR(EDATE(VLOOKUP(A160,'VIP Signups'!$A$5:$B$204,2,FALSE),DATEDIF(VLOOKUP(A160,'VIP Signups'!$A$5:$B$204,2,FALSE),TODAY(),"Y")*12),TODAY()),"One-time",IFERROR(VLOOKUP(A160,'VIP Signups'!$A$5:$B$204,2,FALSE),D160),"Manual",TODAY(),TODAY())),0,IF(F160="",0,F160)))))</x:f>
      </x:c>
      <x:c r="H160" s="19" t="str">
        <x:f>IF(A160="","",SWITCH(C160,"Daily",TODAY()+1,"Weekly",IFERROR(VLOOKUP(A160,'VIP Signups'!$A$5:$B$204,2,FALSE)+CEILING((TODAY()-VLOOKUP(A160,'VIP Signups'!$A$5:$B$204,2,FALSE)+1)/7,1)*7,D160+7),"Monthly",IFERROR(EDATE(VLOOKUP(A160,'VIP Signups'!$A$5:$B$204,2,FALSE),DATEDIF(VLOOKUP(A160,'VIP Signups'!$A$5:$B$204,2,FALSE),TODAY(),"M")+1),EDATE(D160,1)),"Quarterly",IFERROR(EDATE(VLOOKUP(A160,'VIP Signups'!$A$5:$B$204,2,FALSE),(INT(DATEDIF(VLOOKUP(A160,'VIP Signups'!$A$5:$B$204,2,FALSE),TODAY(),"M")/3)+1)*3),EDATE(D160,3)),"Yearly",IFERROR(EDATE(VLOOKUP(A160,'VIP Signups'!$A$5:$B$204,2,FALSE),(DATEDIF(VLOOKUP(A160,'VIP Signups'!$A$5:$B$204,2,FALSE),TODAY(),"Y")+1)*12),EDATE(D160,12)),"One-time","Used","Manual","Manual",""))</x:f>
      </x:c>
      <x:c r="I160" s="18" t="str">
        <x:f>IF(A160="","",IF(G160="Manual","Manual",IF(G160&gt;0,"Yes","No")))</x:f>
      </x:c>
      <x:c r="J160" s="18" t="str">
        <x:f>IF(A160="","",B160&amp;": "&amp;IF(I160="Yes","Available ("&amp;G160&amp;"/"&amp;IF(E160="",1,E160)&amp;" left)",IF(I160="Manual","Manual check",IF(ISNUMBER(H160),"0/"&amp;IF(E160="",1,E160)&amp;" left; resets "&amp;TEXT(H160,"yyyy-mm-dd"),"Used"))))</x:f>
      </x:c>
      <x:c r="K160" s="18"/>
      <x:c r="L160" s="18" t="str">
        <x:v>Yes</x:v>
      </x:c>
      <x:c r="M160" s="18" t="str">
        <x:f>IF(A160="","",A160&amp;"|"&amp;B160)</x:f>
      </x:c>
      <x:c r="N160" s="18"/>
    </x:row>
    <x:row r="161">
      <x:c r="A161" s="18"/>
      <x:c r="B161" s="18"/>
      <x:c r="C161" s="18"/>
      <x:c r="D161" s="19"/>
      <x:c r="E161" s="20"/>
      <x:c r="F161" s="20"/>
      <x:c r="G161" s="20" t="str">
        <x:f>IF(A161="","",IF(C161="Manual","Manual",MAX(0,IF(E161="",1,E161)-IF(OR(D161="",D161&lt;SWITCH(C161,"Daily",TODAY(),"Weekly",IFERROR(VLOOKUP(A161,'VIP Signups'!$A$5:$B$204,2,FALSE)+INT((TODAY()-VLOOKUP(A161,'VIP Signups'!$A$5:$B$204,2,FALSE))/7)*7,TODAY()),"Monthly",IFERROR(EDATE(VLOOKUP(A161,'VIP Signups'!$A$5:$B$204,2,FALSE),DATEDIF(VLOOKUP(A161,'VIP Signups'!$A$5:$B$204,2,FALSE),TODAY(),"M")),TODAY()),"Quarterly",IFERROR(EDATE(VLOOKUP(A161,'VIP Signups'!$A$5:$B$204,2,FALSE),INT(DATEDIF(VLOOKUP(A161,'VIP Signups'!$A$5:$B$204,2,FALSE),TODAY(),"M")/3)*3),TODAY()),"Yearly",IFERROR(EDATE(VLOOKUP(A161,'VIP Signups'!$A$5:$B$204,2,FALSE),DATEDIF(VLOOKUP(A161,'VIP Signups'!$A$5:$B$204,2,FALSE),TODAY(),"Y")*12),TODAY()),"One-time",IFERROR(VLOOKUP(A161,'VIP Signups'!$A$5:$B$204,2,FALSE),D161),"Manual",TODAY(),TODAY())),0,IF(F161="",0,F161)))))</x:f>
      </x:c>
      <x:c r="H161" s="19" t="str">
        <x:f>IF(A161="","",SWITCH(C161,"Daily",TODAY()+1,"Weekly",IFERROR(VLOOKUP(A161,'VIP Signups'!$A$5:$B$204,2,FALSE)+CEILING((TODAY()-VLOOKUP(A161,'VIP Signups'!$A$5:$B$204,2,FALSE)+1)/7,1)*7,D161+7),"Monthly",IFERROR(EDATE(VLOOKUP(A161,'VIP Signups'!$A$5:$B$204,2,FALSE),DATEDIF(VLOOKUP(A161,'VIP Signups'!$A$5:$B$204,2,FALSE),TODAY(),"M")+1),EDATE(D161,1)),"Quarterly",IFERROR(EDATE(VLOOKUP(A161,'VIP Signups'!$A$5:$B$204,2,FALSE),(INT(DATEDIF(VLOOKUP(A161,'VIP Signups'!$A$5:$B$204,2,FALSE),TODAY(),"M")/3)+1)*3),EDATE(D161,3)),"Yearly",IFERROR(EDATE(VLOOKUP(A161,'VIP Signups'!$A$5:$B$204,2,FALSE),(DATEDIF(VLOOKUP(A161,'VIP Signups'!$A$5:$B$204,2,FALSE),TODAY(),"Y")+1)*12),EDATE(D161,12)),"One-time","Used","Manual","Manual",""))</x:f>
      </x:c>
      <x:c r="I161" s="18" t="str">
        <x:f>IF(A161="","",IF(G161="Manual","Manual",IF(G161&gt;0,"Yes","No")))</x:f>
      </x:c>
      <x:c r="J161" s="18" t="str">
        <x:f>IF(A161="","",B161&amp;": "&amp;IF(I161="Yes","Available ("&amp;G161&amp;"/"&amp;IF(E161="",1,E161)&amp;" left)",IF(I161="Manual","Manual check",IF(ISNUMBER(H161),"0/"&amp;IF(E161="",1,E161)&amp;" left; resets "&amp;TEXT(H161,"yyyy-mm-dd"),"Used"))))</x:f>
      </x:c>
      <x:c r="K161" s="18"/>
      <x:c r="L161" s="18" t="str">
        <x:v>Yes</x:v>
      </x:c>
      <x:c r="M161" s="18" t="str">
        <x:f>IF(A161="","",A161&amp;"|"&amp;B161)</x:f>
      </x:c>
      <x:c r="N161" s="18"/>
    </x:row>
    <x:row r="162">
      <x:c r="A162" s="18"/>
      <x:c r="B162" s="18"/>
      <x:c r="C162" s="18"/>
      <x:c r="D162" s="19"/>
      <x:c r="E162" s="20"/>
      <x:c r="F162" s="20"/>
      <x:c r="G162" s="20" t="str">
        <x:f>IF(A162="","",IF(C162="Manual","Manual",MAX(0,IF(E162="",1,E162)-IF(OR(D162="",D162&lt;SWITCH(C162,"Daily",TODAY(),"Weekly",IFERROR(VLOOKUP(A162,'VIP Signups'!$A$5:$B$204,2,FALSE)+INT((TODAY()-VLOOKUP(A162,'VIP Signups'!$A$5:$B$204,2,FALSE))/7)*7,TODAY()),"Monthly",IFERROR(EDATE(VLOOKUP(A162,'VIP Signups'!$A$5:$B$204,2,FALSE),DATEDIF(VLOOKUP(A162,'VIP Signups'!$A$5:$B$204,2,FALSE),TODAY(),"M")),TODAY()),"Quarterly",IFERROR(EDATE(VLOOKUP(A162,'VIP Signups'!$A$5:$B$204,2,FALSE),INT(DATEDIF(VLOOKUP(A162,'VIP Signups'!$A$5:$B$204,2,FALSE),TODAY(),"M")/3)*3),TODAY()),"Yearly",IFERROR(EDATE(VLOOKUP(A162,'VIP Signups'!$A$5:$B$204,2,FALSE),DATEDIF(VLOOKUP(A162,'VIP Signups'!$A$5:$B$204,2,FALSE),TODAY(),"Y")*12),TODAY()),"One-time",IFERROR(VLOOKUP(A162,'VIP Signups'!$A$5:$B$204,2,FALSE),D162),"Manual",TODAY(),TODAY())),0,IF(F162="",0,F162)))))</x:f>
      </x:c>
      <x:c r="H162" s="19" t="str">
        <x:f>IF(A162="","",SWITCH(C162,"Daily",TODAY()+1,"Weekly",IFERROR(VLOOKUP(A162,'VIP Signups'!$A$5:$B$204,2,FALSE)+CEILING((TODAY()-VLOOKUP(A162,'VIP Signups'!$A$5:$B$204,2,FALSE)+1)/7,1)*7,D162+7),"Monthly",IFERROR(EDATE(VLOOKUP(A162,'VIP Signups'!$A$5:$B$204,2,FALSE),DATEDIF(VLOOKUP(A162,'VIP Signups'!$A$5:$B$204,2,FALSE),TODAY(),"M")+1),EDATE(D162,1)),"Quarterly",IFERROR(EDATE(VLOOKUP(A162,'VIP Signups'!$A$5:$B$204,2,FALSE),(INT(DATEDIF(VLOOKUP(A162,'VIP Signups'!$A$5:$B$204,2,FALSE),TODAY(),"M")/3)+1)*3),EDATE(D162,3)),"Yearly",IFERROR(EDATE(VLOOKUP(A162,'VIP Signups'!$A$5:$B$204,2,FALSE),(DATEDIF(VLOOKUP(A162,'VIP Signups'!$A$5:$B$204,2,FALSE),TODAY(),"Y")+1)*12),EDATE(D162,12)),"One-time","Used","Manual","Manual",""))</x:f>
      </x:c>
      <x:c r="I162" s="18" t="str">
        <x:f>IF(A162="","",IF(G162="Manual","Manual",IF(G162&gt;0,"Yes","No")))</x:f>
      </x:c>
      <x:c r="J162" s="18" t="str">
        <x:f>IF(A162="","",B162&amp;": "&amp;IF(I162="Yes","Available ("&amp;G162&amp;"/"&amp;IF(E162="",1,E162)&amp;" left)",IF(I162="Manual","Manual check",IF(ISNUMBER(H162),"0/"&amp;IF(E162="",1,E162)&amp;" left; resets "&amp;TEXT(H162,"yyyy-mm-dd"),"Used"))))</x:f>
      </x:c>
      <x:c r="K162" s="18"/>
      <x:c r="L162" s="18" t="str">
        <x:v>Yes</x:v>
      </x:c>
      <x:c r="M162" s="18" t="str">
        <x:f>IF(A162="","",A162&amp;"|"&amp;B162)</x:f>
      </x:c>
      <x:c r="N162" s="18"/>
    </x:row>
    <x:row r="163">
      <x:c r="A163" s="18"/>
      <x:c r="B163" s="18"/>
      <x:c r="C163" s="18"/>
      <x:c r="D163" s="19"/>
      <x:c r="E163" s="20"/>
      <x:c r="F163" s="20"/>
      <x:c r="G163" s="20" t="str">
        <x:f>IF(A163="","",IF(C163="Manual","Manual",MAX(0,IF(E163="",1,E163)-IF(OR(D163="",D163&lt;SWITCH(C163,"Daily",TODAY(),"Weekly",IFERROR(VLOOKUP(A163,'VIP Signups'!$A$5:$B$204,2,FALSE)+INT((TODAY()-VLOOKUP(A163,'VIP Signups'!$A$5:$B$204,2,FALSE))/7)*7,TODAY()),"Monthly",IFERROR(EDATE(VLOOKUP(A163,'VIP Signups'!$A$5:$B$204,2,FALSE),DATEDIF(VLOOKUP(A163,'VIP Signups'!$A$5:$B$204,2,FALSE),TODAY(),"M")),TODAY()),"Quarterly",IFERROR(EDATE(VLOOKUP(A163,'VIP Signups'!$A$5:$B$204,2,FALSE),INT(DATEDIF(VLOOKUP(A163,'VIP Signups'!$A$5:$B$204,2,FALSE),TODAY(),"M")/3)*3),TODAY()),"Yearly",IFERROR(EDATE(VLOOKUP(A163,'VIP Signups'!$A$5:$B$204,2,FALSE),DATEDIF(VLOOKUP(A163,'VIP Signups'!$A$5:$B$204,2,FALSE),TODAY(),"Y")*12),TODAY()),"One-time",IFERROR(VLOOKUP(A163,'VIP Signups'!$A$5:$B$204,2,FALSE),D163),"Manual",TODAY(),TODAY())),0,IF(F163="",0,F163)))))</x:f>
      </x:c>
      <x:c r="H163" s="19" t="str">
        <x:f>IF(A163="","",SWITCH(C163,"Daily",TODAY()+1,"Weekly",IFERROR(VLOOKUP(A163,'VIP Signups'!$A$5:$B$204,2,FALSE)+CEILING((TODAY()-VLOOKUP(A163,'VIP Signups'!$A$5:$B$204,2,FALSE)+1)/7,1)*7,D163+7),"Monthly",IFERROR(EDATE(VLOOKUP(A163,'VIP Signups'!$A$5:$B$204,2,FALSE),DATEDIF(VLOOKUP(A163,'VIP Signups'!$A$5:$B$204,2,FALSE),TODAY(),"M")+1),EDATE(D163,1)),"Quarterly",IFERROR(EDATE(VLOOKUP(A163,'VIP Signups'!$A$5:$B$204,2,FALSE),(INT(DATEDIF(VLOOKUP(A163,'VIP Signups'!$A$5:$B$204,2,FALSE),TODAY(),"M")/3)+1)*3),EDATE(D163,3)),"Yearly",IFERROR(EDATE(VLOOKUP(A163,'VIP Signups'!$A$5:$B$204,2,FALSE),(DATEDIF(VLOOKUP(A163,'VIP Signups'!$A$5:$B$204,2,FALSE),TODAY(),"Y")+1)*12),EDATE(D163,12)),"One-time","Used","Manual","Manual",""))</x:f>
      </x:c>
      <x:c r="I163" s="18" t="str">
        <x:f>IF(A163="","",IF(G163="Manual","Manual",IF(G163&gt;0,"Yes","No")))</x:f>
      </x:c>
      <x:c r="J163" s="18" t="str">
        <x:f>IF(A163="","",B163&amp;": "&amp;IF(I163="Yes","Available ("&amp;G163&amp;"/"&amp;IF(E163="",1,E163)&amp;" left)",IF(I163="Manual","Manual check",IF(ISNUMBER(H163),"0/"&amp;IF(E163="",1,E163)&amp;" left; resets "&amp;TEXT(H163,"yyyy-mm-dd"),"Used"))))</x:f>
      </x:c>
      <x:c r="K163" s="18"/>
      <x:c r="L163" s="18" t="str">
        <x:v>Yes</x:v>
      </x:c>
      <x:c r="M163" s="18" t="str">
        <x:f>IF(A163="","",A163&amp;"|"&amp;B163)</x:f>
      </x:c>
      <x:c r="N163" s="18"/>
    </x:row>
    <x:row r="164">
      <x:c r="A164" s="18"/>
      <x:c r="B164" s="18"/>
      <x:c r="C164" s="18"/>
      <x:c r="D164" s="19"/>
      <x:c r="E164" s="20"/>
      <x:c r="F164" s="20"/>
      <x:c r="G164" s="20" t="str">
        <x:f>IF(A164="","",IF(C164="Manual","Manual",MAX(0,IF(E164="",1,E164)-IF(OR(D164="",D164&lt;SWITCH(C164,"Daily",TODAY(),"Weekly",IFERROR(VLOOKUP(A164,'VIP Signups'!$A$5:$B$204,2,FALSE)+INT((TODAY()-VLOOKUP(A164,'VIP Signups'!$A$5:$B$204,2,FALSE))/7)*7,TODAY()),"Monthly",IFERROR(EDATE(VLOOKUP(A164,'VIP Signups'!$A$5:$B$204,2,FALSE),DATEDIF(VLOOKUP(A164,'VIP Signups'!$A$5:$B$204,2,FALSE),TODAY(),"M")),TODAY()),"Quarterly",IFERROR(EDATE(VLOOKUP(A164,'VIP Signups'!$A$5:$B$204,2,FALSE),INT(DATEDIF(VLOOKUP(A164,'VIP Signups'!$A$5:$B$204,2,FALSE),TODAY(),"M")/3)*3),TODAY()),"Yearly",IFERROR(EDATE(VLOOKUP(A164,'VIP Signups'!$A$5:$B$204,2,FALSE),DATEDIF(VLOOKUP(A164,'VIP Signups'!$A$5:$B$204,2,FALSE),TODAY(),"Y")*12),TODAY()),"One-time",IFERROR(VLOOKUP(A164,'VIP Signups'!$A$5:$B$204,2,FALSE),D164),"Manual",TODAY(),TODAY())),0,IF(F164="",0,F164)))))</x:f>
      </x:c>
      <x:c r="H164" s="19" t="str">
        <x:f>IF(A164="","",SWITCH(C164,"Daily",TODAY()+1,"Weekly",IFERROR(VLOOKUP(A164,'VIP Signups'!$A$5:$B$204,2,FALSE)+CEILING((TODAY()-VLOOKUP(A164,'VIP Signups'!$A$5:$B$204,2,FALSE)+1)/7,1)*7,D164+7),"Monthly",IFERROR(EDATE(VLOOKUP(A164,'VIP Signups'!$A$5:$B$204,2,FALSE),DATEDIF(VLOOKUP(A164,'VIP Signups'!$A$5:$B$204,2,FALSE),TODAY(),"M")+1),EDATE(D164,1)),"Quarterly",IFERROR(EDATE(VLOOKUP(A164,'VIP Signups'!$A$5:$B$204,2,FALSE),(INT(DATEDIF(VLOOKUP(A164,'VIP Signups'!$A$5:$B$204,2,FALSE),TODAY(),"M")/3)+1)*3),EDATE(D164,3)),"Yearly",IFERROR(EDATE(VLOOKUP(A164,'VIP Signups'!$A$5:$B$204,2,FALSE),(DATEDIF(VLOOKUP(A164,'VIP Signups'!$A$5:$B$204,2,FALSE),TODAY(),"Y")+1)*12),EDATE(D164,12)),"One-time","Used","Manual","Manual",""))</x:f>
      </x:c>
      <x:c r="I164" s="18" t="str">
        <x:f>IF(A164="","",IF(G164="Manual","Manual",IF(G164&gt;0,"Yes","No")))</x:f>
      </x:c>
      <x:c r="J164" s="18" t="str">
        <x:f>IF(A164="","",B164&amp;": "&amp;IF(I164="Yes","Available ("&amp;G164&amp;"/"&amp;IF(E164="",1,E164)&amp;" left)",IF(I164="Manual","Manual check",IF(ISNUMBER(H164),"0/"&amp;IF(E164="",1,E164)&amp;" left; resets "&amp;TEXT(H164,"yyyy-mm-dd"),"Used"))))</x:f>
      </x:c>
      <x:c r="K164" s="18"/>
      <x:c r="L164" s="18" t="str">
        <x:v>Yes</x:v>
      </x:c>
      <x:c r="M164" s="18" t="str">
        <x:f>IF(A164="","",A164&amp;"|"&amp;B164)</x:f>
      </x:c>
      <x:c r="N164" s="18"/>
    </x:row>
    <x:row r="165">
      <x:c r="A165" s="18"/>
      <x:c r="B165" s="18"/>
      <x:c r="C165" s="18"/>
      <x:c r="D165" s="19"/>
      <x:c r="E165" s="20"/>
      <x:c r="F165" s="20"/>
      <x:c r="G165" s="20" t="str">
        <x:f>IF(A165="","",IF(C165="Manual","Manual",MAX(0,IF(E165="",1,E165)-IF(OR(D165="",D165&lt;SWITCH(C165,"Daily",TODAY(),"Weekly",IFERROR(VLOOKUP(A165,'VIP Signups'!$A$5:$B$204,2,FALSE)+INT((TODAY()-VLOOKUP(A165,'VIP Signups'!$A$5:$B$204,2,FALSE))/7)*7,TODAY()),"Monthly",IFERROR(EDATE(VLOOKUP(A165,'VIP Signups'!$A$5:$B$204,2,FALSE),DATEDIF(VLOOKUP(A165,'VIP Signups'!$A$5:$B$204,2,FALSE),TODAY(),"M")),TODAY()),"Quarterly",IFERROR(EDATE(VLOOKUP(A165,'VIP Signups'!$A$5:$B$204,2,FALSE),INT(DATEDIF(VLOOKUP(A165,'VIP Signups'!$A$5:$B$204,2,FALSE),TODAY(),"M")/3)*3),TODAY()),"Yearly",IFERROR(EDATE(VLOOKUP(A165,'VIP Signups'!$A$5:$B$204,2,FALSE),DATEDIF(VLOOKUP(A165,'VIP Signups'!$A$5:$B$204,2,FALSE),TODAY(),"Y")*12),TODAY()),"One-time",IFERROR(VLOOKUP(A165,'VIP Signups'!$A$5:$B$204,2,FALSE),D165),"Manual",TODAY(),TODAY())),0,IF(F165="",0,F165)))))</x:f>
      </x:c>
      <x:c r="H165" s="19" t="str">
        <x:f>IF(A165="","",SWITCH(C165,"Daily",TODAY()+1,"Weekly",IFERROR(VLOOKUP(A165,'VIP Signups'!$A$5:$B$204,2,FALSE)+CEILING((TODAY()-VLOOKUP(A165,'VIP Signups'!$A$5:$B$204,2,FALSE)+1)/7,1)*7,D165+7),"Monthly",IFERROR(EDATE(VLOOKUP(A165,'VIP Signups'!$A$5:$B$204,2,FALSE),DATEDIF(VLOOKUP(A165,'VIP Signups'!$A$5:$B$204,2,FALSE),TODAY(),"M")+1),EDATE(D165,1)),"Quarterly",IFERROR(EDATE(VLOOKUP(A165,'VIP Signups'!$A$5:$B$204,2,FALSE),(INT(DATEDIF(VLOOKUP(A165,'VIP Signups'!$A$5:$B$204,2,FALSE),TODAY(),"M")/3)+1)*3),EDATE(D165,3)),"Yearly",IFERROR(EDATE(VLOOKUP(A165,'VIP Signups'!$A$5:$B$204,2,FALSE),(DATEDIF(VLOOKUP(A165,'VIP Signups'!$A$5:$B$204,2,FALSE),TODAY(),"Y")+1)*12),EDATE(D165,12)),"One-time","Used","Manual","Manual",""))</x:f>
      </x:c>
      <x:c r="I165" s="18" t="str">
        <x:f>IF(A165="","",IF(G165="Manual","Manual",IF(G165&gt;0,"Yes","No")))</x:f>
      </x:c>
      <x:c r="J165" s="18" t="str">
        <x:f>IF(A165="","",B165&amp;": "&amp;IF(I165="Yes","Available ("&amp;G165&amp;"/"&amp;IF(E165="",1,E165)&amp;" left)",IF(I165="Manual","Manual check",IF(ISNUMBER(H165),"0/"&amp;IF(E165="",1,E165)&amp;" left; resets "&amp;TEXT(H165,"yyyy-mm-dd"),"Used"))))</x:f>
      </x:c>
      <x:c r="K165" s="18"/>
      <x:c r="L165" s="18" t="str">
        <x:v>Yes</x:v>
      </x:c>
      <x:c r="M165" s="18" t="str">
        <x:f>IF(A165="","",A165&amp;"|"&amp;B165)</x:f>
      </x:c>
      <x:c r="N165" s="18"/>
    </x:row>
    <x:row r="166">
      <x:c r="A166" s="18"/>
      <x:c r="B166" s="18"/>
      <x:c r="C166" s="18"/>
      <x:c r="D166" s="19"/>
      <x:c r="E166" s="20"/>
      <x:c r="F166" s="20"/>
      <x:c r="G166" s="20" t="str">
        <x:f>IF(A166="","",IF(C166="Manual","Manual",MAX(0,IF(E166="",1,E166)-IF(OR(D166="",D166&lt;SWITCH(C166,"Daily",TODAY(),"Weekly",IFERROR(VLOOKUP(A166,'VIP Signups'!$A$5:$B$204,2,FALSE)+INT((TODAY()-VLOOKUP(A166,'VIP Signups'!$A$5:$B$204,2,FALSE))/7)*7,TODAY()),"Monthly",IFERROR(EDATE(VLOOKUP(A166,'VIP Signups'!$A$5:$B$204,2,FALSE),DATEDIF(VLOOKUP(A166,'VIP Signups'!$A$5:$B$204,2,FALSE),TODAY(),"M")),TODAY()),"Quarterly",IFERROR(EDATE(VLOOKUP(A166,'VIP Signups'!$A$5:$B$204,2,FALSE),INT(DATEDIF(VLOOKUP(A166,'VIP Signups'!$A$5:$B$204,2,FALSE),TODAY(),"M")/3)*3),TODAY()),"Yearly",IFERROR(EDATE(VLOOKUP(A166,'VIP Signups'!$A$5:$B$204,2,FALSE),DATEDIF(VLOOKUP(A166,'VIP Signups'!$A$5:$B$204,2,FALSE),TODAY(),"Y")*12),TODAY()),"One-time",IFERROR(VLOOKUP(A166,'VIP Signups'!$A$5:$B$204,2,FALSE),D166),"Manual",TODAY(),TODAY())),0,IF(F166="",0,F166)))))</x:f>
      </x:c>
      <x:c r="H166" s="19" t="str">
        <x:f>IF(A166="","",SWITCH(C166,"Daily",TODAY()+1,"Weekly",IFERROR(VLOOKUP(A166,'VIP Signups'!$A$5:$B$204,2,FALSE)+CEILING((TODAY()-VLOOKUP(A166,'VIP Signups'!$A$5:$B$204,2,FALSE)+1)/7,1)*7,D166+7),"Monthly",IFERROR(EDATE(VLOOKUP(A166,'VIP Signups'!$A$5:$B$204,2,FALSE),DATEDIF(VLOOKUP(A166,'VIP Signups'!$A$5:$B$204,2,FALSE),TODAY(),"M")+1),EDATE(D166,1)),"Quarterly",IFERROR(EDATE(VLOOKUP(A166,'VIP Signups'!$A$5:$B$204,2,FALSE),(INT(DATEDIF(VLOOKUP(A166,'VIP Signups'!$A$5:$B$204,2,FALSE),TODAY(),"M")/3)+1)*3),EDATE(D166,3)),"Yearly",IFERROR(EDATE(VLOOKUP(A166,'VIP Signups'!$A$5:$B$204,2,FALSE),(DATEDIF(VLOOKUP(A166,'VIP Signups'!$A$5:$B$204,2,FALSE),TODAY(),"Y")+1)*12),EDATE(D166,12)),"One-time","Used","Manual","Manual",""))</x:f>
      </x:c>
      <x:c r="I166" s="18" t="str">
        <x:f>IF(A166="","",IF(G166="Manual","Manual",IF(G166&gt;0,"Yes","No")))</x:f>
      </x:c>
      <x:c r="J166" s="18" t="str">
        <x:f>IF(A166="","",B166&amp;": "&amp;IF(I166="Yes","Available ("&amp;G166&amp;"/"&amp;IF(E166="",1,E166)&amp;" left)",IF(I166="Manual","Manual check",IF(ISNUMBER(H166),"0/"&amp;IF(E166="",1,E166)&amp;" left; resets "&amp;TEXT(H166,"yyyy-mm-dd"),"Used"))))</x:f>
      </x:c>
      <x:c r="K166" s="18"/>
      <x:c r="L166" s="18" t="str">
        <x:v>Yes</x:v>
      </x:c>
      <x:c r="M166" s="18" t="str">
        <x:f>IF(A166="","",A166&amp;"|"&amp;B166)</x:f>
      </x:c>
      <x:c r="N166" s="18"/>
    </x:row>
    <x:row r="167">
      <x:c r="A167" s="18"/>
      <x:c r="B167" s="18"/>
      <x:c r="C167" s="18"/>
      <x:c r="D167" s="19"/>
      <x:c r="E167" s="20"/>
      <x:c r="F167" s="20"/>
      <x:c r="G167" s="20" t="str">
        <x:f>IF(A167="","",IF(C167="Manual","Manual",MAX(0,IF(E167="",1,E167)-IF(OR(D167="",D167&lt;SWITCH(C167,"Daily",TODAY(),"Weekly",IFERROR(VLOOKUP(A167,'VIP Signups'!$A$5:$B$204,2,FALSE)+INT((TODAY()-VLOOKUP(A167,'VIP Signups'!$A$5:$B$204,2,FALSE))/7)*7,TODAY()),"Monthly",IFERROR(EDATE(VLOOKUP(A167,'VIP Signups'!$A$5:$B$204,2,FALSE),DATEDIF(VLOOKUP(A167,'VIP Signups'!$A$5:$B$204,2,FALSE),TODAY(),"M")),TODAY()),"Quarterly",IFERROR(EDATE(VLOOKUP(A167,'VIP Signups'!$A$5:$B$204,2,FALSE),INT(DATEDIF(VLOOKUP(A167,'VIP Signups'!$A$5:$B$204,2,FALSE),TODAY(),"M")/3)*3),TODAY()),"Yearly",IFERROR(EDATE(VLOOKUP(A167,'VIP Signups'!$A$5:$B$204,2,FALSE),DATEDIF(VLOOKUP(A167,'VIP Signups'!$A$5:$B$204,2,FALSE),TODAY(),"Y")*12),TODAY()),"One-time",IFERROR(VLOOKUP(A167,'VIP Signups'!$A$5:$B$204,2,FALSE),D167),"Manual",TODAY(),TODAY())),0,IF(F167="",0,F167)))))</x:f>
      </x:c>
      <x:c r="H167" s="19" t="str">
        <x:f>IF(A167="","",SWITCH(C167,"Daily",TODAY()+1,"Weekly",IFERROR(VLOOKUP(A167,'VIP Signups'!$A$5:$B$204,2,FALSE)+CEILING((TODAY()-VLOOKUP(A167,'VIP Signups'!$A$5:$B$204,2,FALSE)+1)/7,1)*7,D167+7),"Monthly",IFERROR(EDATE(VLOOKUP(A167,'VIP Signups'!$A$5:$B$204,2,FALSE),DATEDIF(VLOOKUP(A167,'VIP Signups'!$A$5:$B$204,2,FALSE),TODAY(),"M")+1),EDATE(D167,1)),"Quarterly",IFERROR(EDATE(VLOOKUP(A167,'VIP Signups'!$A$5:$B$204,2,FALSE),(INT(DATEDIF(VLOOKUP(A167,'VIP Signups'!$A$5:$B$204,2,FALSE),TODAY(),"M")/3)+1)*3),EDATE(D167,3)),"Yearly",IFERROR(EDATE(VLOOKUP(A167,'VIP Signups'!$A$5:$B$204,2,FALSE),(DATEDIF(VLOOKUP(A167,'VIP Signups'!$A$5:$B$204,2,FALSE),TODAY(),"Y")+1)*12),EDATE(D167,12)),"One-time","Used","Manual","Manual",""))</x:f>
      </x:c>
      <x:c r="I167" s="18" t="str">
        <x:f>IF(A167="","",IF(G167="Manual","Manual",IF(G167&gt;0,"Yes","No")))</x:f>
      </x:c>
      <x:c r="J167" s="18" t="str">
        <x:f>IF(A167="","",B167&amp;": "&amp;IF(I167="Yes","Available ("&amp;G167&amp;"/"&amp;IF(E167="",1,E167)&amp;" left)",IF(I167="Manual","Manual check",IF(ISNUMBER(H167),"0/"&amp;IF(E167="",1,E167)&amp;" left; resets "&amp;TEXT(H167,"yyyy-mm-dd"),"Used"))))</x:f>
      </x:c>
      <x:c r="K167" s="18"/>
      <x:c r="L167" s="18" t="str">
        <x:v>Yes</x:v>
      </x:c>
      <x:c r="M167" s="18" t="str">
        <x:f>IF(A167="","",A167&amp;"|"&amp;B167)</x:f>
      </x:c>
      <x:c r="N167" s="18"/>
    </x:row>
    <x:row r="168">
      <x:c r="A168" s="18"/>
      <x:c r="B168" s="18"/>
      <x:c r="C168" s="18"/>
      <x:c r="D168" s="19"/>
      <x:c r="E168" s="20"/>
      <x:c r="F168" s="20"/>
      <x:c r="G168" s="20" t="str">
        <x:f>IF(A168="","",IF(C168="Manual","Manual",MAX(0,IF(E168="",1,E168)-IF(OR(D168="",D168&lt;SWITCH(C168,"Daily",TODAY(),"Weekly",IFERROR(VLOOKUP(A168,'VIP Signups'!$A$5:$B$204,2,FALSE)+INT((TODAY()-VLOOKUP(A168,'VIP Signups'!$A$5:$B$204,2,FALSE))/7)*7,TODAY()),"Monthly",IFERROR(EDATE(VLOOKUP(A168,'VIP Signups'!$A$5:$B$204,2,FALSE),DATEDIF(VLOOKUP(A168,'VIP Signups'!$A$5:$B$204,2,FALSE),TODAY(),"M")),TODAY()),"Quarterly",IFERROR(EDATE(VLOOKUP(A168,'VIP Signups'!$A$5:$B$204,2,FALSE),INT(DATEDIF(VLOOKUP(A168,'VIP Signups'!$A$5:$B$204,2,FALSE),TODAY(),"M")/3)*3),TODAY()),"Yearly",IFERROR(EDATE(VLOOKUP(A168,'VIP Signups'!$A$5:$B$204,2,FALSE),DATEDIF(VLOOKUP(A168,'VIP Signups'!$A$5:$B$204,2,FALSE),TODAY(),"Y")*12),TODAY()),"One-time",IFERROR(VLOOKUP(A168,'VIP Signups'!$A$5:$B$204,2,FALSE),D168),"Manual",TODAY(),TODAY())),0,IF(F168="",0,F168)))))</x:f>
      </x:c>
      <x:c r="H168" s="19" t="str">
        <x:f>IF(A168="","",SWITCH(C168,"Daily",TODAY()+1,"Weekly",IFERROR(VLOOKUP(A168,'VIP Signups'!$A$5:$B$204,2,FALSE)+CEILING((TODAY()-VLOOKUP(A168,'VIP Signups'!$A$5:$B$204,2,FALSE)+1)/7,1)*7,D168+7),"Monthly",IFERROR(EDATE(VLOOKUP(A168,'VIP Signups'!$A$5:$B$204,2,FALSE),DATEDIF(VLOOKUP(A168,'VIP Signups'!$A$5:$B$204,2,FALSE),TODAY(),"M")+1),EDATE(D168,1)),"Quarterly",IFERROR(EDATE(VLOOKUP(A168,'VIP Signups'!$A$5:$B$204,2,FALSE),(INT(DATEDIF(VLOOKUP(A168,'VIP Signups'!$A$5:$B$204,2,FALSE),TODAY(),"M")/3)+1)*3),EDATE(D168,3)),"Yearly",IFERROR(EDATE(VLOOKUP(A168,'VIP Signups'!$A$5:$B$204,2,FALSE),(DATEDIF(VLOOKUP(A168,'VIP Signups'!$A$5:$B$204,2,FALSE),TODAY(),"Y")+1)*12),EDATE(D168,12)),"One-time","Used","Manual","Manual",""))</x:f>
      </x:c>
      <x:c r="I168" s="18" t="str">
        <x:f>IF(A168="","",IF(G168="Manual","Manual",IF(G168&gt;0,"Yes","No")))</x:f>
      </x:c>
      <x:c r="J168" s="18" t="str">
        <x:f>IF(A168="","",B168&amp;": "&amp;IF(I168="Yes","Available ("&amp;G168&amp;"/"&amp;IF(E168="",1,E168)&amp;" left)",IF(I168="Manual","Manual check",IF(ISNUMBER(H168),"0/"&amp;IF(E168="",1,E168)&amp;" left; resets "&amp;TEXT(H168,"yyyy-mm-dd"),"Used"))))</x:f>
      </x:c>
      <x:c r="K168" s="18"/>
      <x:c r="L168" s="18" t="str">
        <x:v>Yes</x:v>
      </x:c>
      <x:c r="M168" s="18" t="str">
        <x:f>IF(A168="","",A168&amp;"|"&amp;B168)</x:f>
      </x:c>
      <x:c r="N168" s="18"/>
    </x:row>
    <x:row r="169">
      <x:c r="A169" s="18"/>
      <x:c r="B169" s="18"/>
      <x:c r="C169" s="18"/>
      <x:c r="D169" s="19"/>
      <x:c r="E169" s="20"/>
      <x:c r="F169" s="20"/>
      <x:c r="G169" s="20" t="str">
        <x:f>IF(A169="","",IF(C169="Manual","Manual",MAX(0,IF(E169="",1,E169)-IF(OR(D169="",D169&lt;SWITCH(C169,"Daily",TODAY(),"Weekly",IFERROR(VLOOKUP(A169,'VIP Signups'!$A$5:$B$204,2,FALSE)+INT((TODAY()-VLOOKUP(A169,'VIP Signups'!$A$5:$B$204,2,FALSE))/7)*7,TODAY()),"Monthly",IFERROR(EDATE(VLOOKUP(A169,'VIP Signups'!$A$5:$B$204,2,FALSE),DATEDIF(VLOOKUP(A169,'VIP Signups'!$A$5:$B$204,2,FALSE),TODAY(),"M")),TODAY()),"Quarterly",IFERROR(EDATE(VLOOKUP(A169,'VIP Signups'!$A$5:$B$204,2,FALSE),INT(DATEDIF(VLOOKUP(A169,'VIP Signups'!$A$5:$B$204,2,FALSE),TODAY(),"M")/3)*3),TODAY()),"Yearly",IFERROR(EDATE(VLOOKUP(A169,'VIP Signups'!$A$5:$B$204,2,FALSE),DATEDIF(VLOOKUP(A169,'VIP Signups'!$A$5:$B$204,2,FALSE),TODAY(),"Y")*12),TODAY()),"One-time",IFERROR(VLOOKUP(A169,'VIP Signups'!$A$5:$B$204,2,FALSE),D169),"Manual",TODAY(),TODAY())),0,IF(F169="",0,F169)))))</x:f>
      </x:c>
      <x:c r="H169" s="19" t="str">
        <x:f>IF(A169="","",SWITCH(C169,"Daily",TODAY()+1,"Weekly",IFERROR(VLOOKUP(A169,'VIP Signups'!$A$5:$B$204,2,FALSE)+CEILING((TODAY()-VLOOKUP(A169,'VIP Signups'!$A$5:$B$204,2,FALSE)+1)/7,1)*7,D169+7),"Monthly",IFERROR(EDATE(VLOOKUP(A169,'VIP Signups'!$A$5:$B$204,2,FALSE),DATEDIF(VLOOKUP(A169,'VIP Signups'!$A$5:$B$204,2,FALSE),TODAY(),"M")+1),EDATE(D169,1)),"Quarterly",IFERROR(EDATE(VLOOKUP(A169,'VIP Signups'!$A$5:$B$204,2,FALSE),(INT(DATEDIF(VLOOKUP(A169,'VIP Signups'!$A$5:$B$204,2,FALSE),TODAY(),"M")/3)+1)*3),EDATE(D169,3)),"Yearly",IFERROR(EDATE(VLOOKUP(A169,'VIP Signups'!$A$5:$B$204,2,FALSE),(DATEDIF(VLOOKUP(A169,'VIP Signups'!$A$5:$B$204,2,FALSE),TODAY(),"Y")+1)*12),EDATE(D169,12)),"One-time","Used","Manual","Manual",""))</x:f>
      </x:c>
      <x:c r="I169" s="18" t="str">
        <x:f>IF(A169="","",IF(G169="Manual","Manual",IF(G169&gt;0,"Yes","No")))</x:f>
      </x:c>
      <x:c r="J169" s="18" t="str">
        <x:f>IF(A169="","",B169&amp;": "&amp;IF(I169="Yes","Available ("&amp;G169&amp;"/"&amp;IF(E169="",1,E169)&amp;" left)",IF(I169="Manual","Manual check",IF(ISNUMBER(H169),"0/"&amp;IF(E169="",1,E169)&amp;" left; resets "&amp;TEXT(H169,"yyyy-mm-dd"),"Used"))))</x:f>
      </x:c>
      <x:c r="K169" s="18"/>
      <x:c r="L169" s="18" t="str">
        <x:v>Yes</x:v>
      </x:c>
      <x:c r="M169" s="18" t="str">
        <x:f>IF(A169="","",A169&amp;"|"&amp;B169)</x:f>
      </x:c>
      <x:c r="N169" s="18"/>
    </x:row>
    <x:row r="170">
      <x:c r="A170" s="18"/>
      <x:c r="B170" s="18"/>
      <x:c r="C170" s="18"/>
      <x:c r="D170" s="19"/>
      <x:c r="E170" s="20"/>
      <x:c r="F170" s="20"/>
      <x:c r="G170" s="20" t="str">
        <x:f>IF(A170="","",IF(C170="Manual","Manual",MAX(0,IF(E170="",1,E170)-IF(OR(D170="",D170&lt;SWITCH(C170,"Daily",TODAY(),"Weekly",IFERROR(VLOOKUP(A170,'VIP Signups'!$A$5:$B$204,2,FALSE)+INT((TODAY()-VLOOKUP(A170,'VIP Signups'!$A$5:$B$204,2,FALSE))/7)*7,TODAY()),"Monthly",IFERROR(EDATE(VLOOKUP(A170,'VIP Signups'!$A$5:$B$204,2,FALSE),DATEDIF(VLOOKUP(A170,'VIP Signups'!$A$5:$B$204,2,FALSE),TODAY(),"M")),TODAY()),"Quarterly",IFERROR(EDATE(VLOOKUP(A170,'VIP Signups'!$A$5:$B$204,2,FALSE),INT(DATEDIF(VLOOKUP(A170,'VIP Signups'!$A$5:$B$204,2,FALSE),TODAY(),"M")/3)*3),TODAY()),"Yearly",IFERROR(EDATE(VLOOKUP(A170,'VIP Signups'!$A$5:$B$204,2,FALSE),DATEDIF(VLOOKUP(A170,'VIP Signups'!$A$5:$B$204,2,FALSE),TODAY(),"Y")*12),TODAY()),"One-time",IFERROR(VLOOKUP(A170,'VIP Signups'!$A$5:$B$204,2,FALSE),D170),"Manual",TODAY(),TODAY())),0,IF(F170="",0,F170)))))</x:f>
      </x:c>
      <x:c r="H170" s="19" t="str">
        <x:f>IF(A170="","",SWITCH(C170,"Daily",TODAY()+1,"Weekly",IFERROR(VLOOKUP(A170,'VIP Signups'!$A$5:$B$204,2,FALSE)+CEILING((TODAY()-VLOOKUP(A170,'VIP Signups'!$A$5:$B$204,2,FALSE)+1)/7,1)*7,D170+7),"Monthly",IFERROR(EDATE(VLOOKUP(A170,'VIP Signups'!$A$5:$B$204,2,FALSE),DATEDIF(VLOOKUP(A170,'VIP Signups'!$A$5:$B$204,2,FALSE),TODAY(),"M")+1),EDATE(D170,1)),"Quarterly",IFERROR(EDATE(VLOOKUP(A170,'VIP Signups'!$A$5:$B$204,2,FALSE),(INT(DATEDIF(VLOOKUP(A170,'VIP Signups'!$A$5:$B$204,2,FALSE),TODAY(),"M")/3)+1)*3),EDATE(D170,3)),"Yearly",IFERROR(EDATE(VLOOKUP(A170,'VIP Signups'!$A$5:$B$204,2,FALSE),(DATEDIF(VLOOKUP(A170,'VIP Signups'!$A$5:$B$204,2,FALSE),TODAY(),"Y")+1)*12),EDATE(D170,12)),"One-time","Used","Manual","Manual",""))</x:f>
      </x:c>
      <x:c r="I170" s="18" t="str">
        <x:f>IF(A170="","",IF(G170="Manual","Manual",IF(G170&gt;0,"Yes","No")))</x:f>
      </x:c>
      <x:c r="J170" s="18" t="str">
        <x:f>IF(A170="","",B170&amp;": "&amp;IF(I170="Yes","Available ("&amp;G170&amp;"/"&amp;IF(E170="",1,E170)&amp;" left)",IF(I170="Manual","Manual check",IF(ISNUMBER(H170),"0/"&amp;IF(E170="",1,E170)&amp;" left; resets "&amp;TEXT(H170,"yyyy-mm-dd"),"Used"))))</x:f>
      </x:c>
      <x:c r="K170" s="18"/>
      <x:c r="L170" s="18" t="str">
        <x:v>Yes</x:v>
      </x:c>
      <x:c r="M170" s="18" t="str">
        <x:f>IF(A170="","",A170&amp;"|"&amp;B170)</x:f>
      </x:c>
      <x:c r="N170" s="18"/>
    </x:row>
    <x:row r="171">
      <x:c r="A171" s="18"/>
      <x:c r="B171" s="18"/>
      <x:c r="C171" s="18"/>
      <x:c r="D171" s="19"/>
      <x:c r="E171" s="20"/>
      <x:c r="F171" s="20"/>
      <x:c r="G171" s="20" t="str">
        <x:f>IF(A171="","",IF(C171="Manual","Manual",MAX(0,IF(E171="",1,E171)-IF(OR(D171="",D171&lt;SWITCH(C171,"Daily",TODAY(),"Weekly",IFERROR(VLOOKUP(A171,'VIP Signups'!$A$5:$B$204,2,FALSE)+INT((TODAY()-VLOOKUP(A171,'VIP Signups'!$A$5:$B$204,2,FALSE))/7)*7,TODAY()),"Monthly",IFERROR(EDATE(VLOOKUP(A171,'VIP Signups'!$A$5:$B$204,2,FALSE),DATEDIF(VLOOKUP(A171,'VIP Signups'!$A$5:$B$204,2,FALSE),TODAY(),"M")),TODAY()),"Quarterly",IFERROR(EDATE(VLOOKUP(A171,'VIP Signups'!$A$5:$B$204,2,FALSE),INT(DATEDIF(VLOOKUP(A171,'VIP Signups'!$A$5:$B$204,2,FALSE),TODAY(),"M")/3)*3),TODAY()),"Yearly",IFERROR(EDATE(VLOOKUP(A171,'VIP Signups'!$A$5:$B$204,2,FALSE),DATEDIF(VLOOKUP(A171,'VIP Signups'!$A$5:$B$204,2,FALSE),TODAY(),"Y")*12),TODAY()),"One-time",IFERROR(VLOOKUP(A171,'VIP Signups'!$A$5:$B$204,2,FALSE),D171),"Manual",TODAY(),TODAY())),0,IF(F171="",0,F171)))))</x:f>
      </x:c>
      <x:c r="H171" s="19" t="str">
        <x:f>IF(A171="","",SWITCH(C171,"Daily",TODAY()+1,"Weekly",IFERROR(VLOOKUP(A171,'VIP Signups'!$A$5:$B$204,2,FALSE)+CEILING((TODAY()-VLOOKUP(A171,'VIP Signups'!$A$5:$B$204,2,FALSE)+1)/7,1)*7,D171+7),"Monthly",IFERROR(EDATE(VLOOKUP(A171,'VIP Signups'!$A$5:$B$204,2,FALSE),DATEDIF(VLOOKUP(A171,'VIP Signups'!$A$5:$B$204,2,FALSE),TODAY(),"M")+1),EDATE(D171,1)),"Quarterly",IFERROR(EDATE(VLOOKUP(A171,'VIP Signups'!$A$5:$B$204,2,FALSE),(INT(DATEDIF(VLOOKUP(A171,'VIP Signups'!$A$5:$B$204,2,FALSE),TODAY(),"M")/3)+1)*3),EDATE(D171,3)),"Yearly",IFERROR(EDATE(VLOOKUP(A171,'VIP Signups'!$A$5:$B$204,2,FALSE),(DATEDIF(VLOOKUP(A171,'VIP Signups'!$A$5:$B$204,2,FALSE),TODAY(),"Y")+1)*12),EDATE(D171,12)),"One-time","Used","Manual","Manual",""))</x:f>
      </x:c>
      <x:c r="I171" s="18" t="str">
        <x:f>IF(A171="","",IF(G171="Manual","Manual",IF(G171&gt;0,"Yes","No")))</x:f>
      </x:c>
      <x:c r="J171" s="18" t="str">
        <x:f>IF(A171="","",B171&amp;": "&amp;IF(I171="Yes","Available ("&amp;G171&amp;"/"&amp;IF(E171="",1,E171)&amp;" left)",IF(I171="Manual","Manual check",IF(ISNUMBER(H171),"0/"&amp;IF(E171="",1,E171)&amp;" left; resets "&amp;TEXT(H171,"yyyy-mm-dd"),"Used"))))</x:f>
      </x:c>
      <x:c r="K171" s="18"/>
      <x:c r="L171" s="18" t="str">
        <x:v>Yes</x:v>
      </x:c>
      <x:c r="M171" s="18" t="str">
        <x:f>IF(A171="","",A171&amp;"|"&amp;B171)</x:f>
      </x:c>
      <x:c r="N171" s="18"/>
    </x:row>
    <x:row r="172">
      <x:c r="A172" s="18"/>
      <x:c r="B172" s="18"/>
      <x:c r="C172" s="18"/>
      <x:c r="D172" s="19"/>
      <x:c r="E172" s="20"/>
      <x:c r="F172" s="20"/>
      <x:c r="G172" s="20" t="str">
        <x:f>IF(A172="","",IF(C172="Manual","Manual",MAX(0,IF(E172="",1,E172)-IF(OR(D172="",D172&lt;SWITCH(C172,"Daily",TODAY(),"Weekly",IFERROR(VLOOKUP(A172,'VIP Signups'!$A$5:$B$204,2,FALSE)+INT((TODAY()-VLOOKUP(A172,'VIP Signups'!$A$5:$B$204,2,FALSE))/7)*7,TODAY()),"Monthly",IFERROR(EDATE(VLOOKUP(A172,'VIP Signups'!$A$5:$B$204,2,FALSE),DATEDIF(VLOOKUP(A172,'VIP Signups'!$A$5:$B$204,2,FALSE),TODAY(),"M")),TODAY()),"Quarterly",IFERROR(EDATE(VLOOKUP(A172,'VIP Signups'!$A$5:$B$204,2,FALSE),INT(DATEDIF(VLOOKUP(A172,'VIP Signups'!$A$5:$B$204,2,FALSE),TODAY(),"M")/3)*3),TODAY()),"Yearly",IFERROR(EDATE(VLOOKUP(A172,'VIP Signups'!$A$5:$B$204,2,FALSE),DATEDIF(VLOOKUP(A172,'VIP Signups'!$A$5:$B$204,2,FALSE),TODAY(),"Y")*12),TODAY()),"One-time",IFERROR(VLOOKUP(A172,'VIP Signups'!$A$5:$B$204,2,FALSE),D172),"Manual",TODAY(),TODAY())),0,IF(F172="",0,F172)))))</x:f>
      </x:c>
      <x:c r="H172" s="19" t="str">
        <x:f>IF(A172="","",SWITCH(C172,"Daily",TODAY()+1,"Weekly",IFERROR(VLOOKUP(A172,'VIP Signups'!$A$5:$B$204,2,FALSE)+CEILING((TODAY()-VLOOKUP(A172,'VIP Signups'!$A$5:$B$204,2,FALSE)+1)/7,1)*7,D172+7),"Monthly",IFERROR(EDATE(VLOOKUP(A172,'VIP Signups'!$A$5:$B$204,2,FALSE),DATEDIF(VLOOKUP(A172,'VIP Signups'!$A$5:$B$204,2,FALSE),TODAY(),"M")+1),EDATE(D172,1)),"Quarterly",IFERROR(EDATE(VLOOKUP(A172,'VIP Signups'!$A$5:$B$204,2,FALSE),(INT(DATEDIF(VLOOKUP(A172,'VIP Signups'!$A$5:$B$204,2,FALSE),TODAY(),"M")/3)+1)*3),EDATE(D172,3)),"Yearly",IFERROR(EDATE(VLOOKUP(A172,'VIP Signups'!$A$5:$B$204,2,FALSE),(DATEDIF(VLOOKUP(A172,'VIP Signups'!$A$5:$B$204,2,FALSE),TODAY(),"Y")+1)*12),EDATE(D172,12)),"One-time","Used","Manual","Manual",""))</x:f>
      </x:c>
      <x:c r="I172" s="18" t="str">
        <x:f>IF(A172="","",IF(G172="Manual","Manual",IF(G172&gt;0,"Yes","No")))</x:f>
      </x:c>
      <x:c r="J172" s="18" t="str">
        <x:f>IF(A172="","",B172&amp;": "&amp;IF(I172="Yes","Available ("&amp;G172&amp;"/"&amp;IF(E172="",1,E172)&amp;" left)",IF(I172="Manual","Manual check",IF(ISNUMBER(H172),"0/"&amp;IF(E172="",1,E172)&amp;" left; resets "&amp;TEXT(H172,"yyyy-mm-dd"),"Used"))))</x:f>
      </x:c>
      <x:c r="K172" s="18"/>
      <x:c r="L172" s="18" t="str">
        <x:v>Yes</x:v>
      </x:c>
      <x:c r="M172" s="18" t="str">
        <x:f>IF(A172="","",A172&amp;"|"&amp;B172)</x:f>
      </x:c>
      <x:c r="N172" s="18"/>
    </x:row>
    <x:row r="173">
      <x:c r="A173" s="18"/>
      <x:c r="B173" s="18"/>
      <x:c r="C173" s="18"/>
      <x:c r="D173" s="19"/>
      <x:c r="E173" s="20"/>
      <x:c r="F173" s="20"/>
      <x:c r="G173" s="20" t="str">
        <x:f>IF(A173="","",IF(C173="Manual","Manual",MAX(0,IF(E173="",1,E173)-IF(OR(D173="",D173&lt;SWITCH(C173,"Daily",TODAY(),"Weekly",IFERROR(VLOOKUP(A173,'VIP Signups'!$A$5:$B$204,2,FALSE)+INT((TODAY()-VLOOKUP(A173,'VIP Signups'!$A$5:$B$204,2,FALSE))/7)*7,TODAY()),"Monthly",IFERROR(EDATE(VLOOKUP(A173,'VIP Signups'!$A$5:$B$204,2,FALSE),DATEDIF(VLOOKUP(A173,'VIP Signups'!$A$5:$B$204,2,FALSE),TODAY(),"M")),TODAY()),"Quarterly",IFERROR(EDATE(VLOOKUP(A173,'VIP Signups'!$A$5:$B$204,2,FALSE),INT(DATEDIF(VLOOKUP(A173,'VIP Signups'!$A$5:$B$204,2,FALSE),TODAY(),"M")/3)*3),TODAY()),"Yearly",IFERROR(EDATE(VLOOKUP(A173,'VIP Signups'!$A$5:$B$204,2,FALSE),DATEDIF(VLOOKUP(A173,'VIP Signups'!$A$5:$B$204,2,FALSE),TODAY(),"Y")*12),TODAY()),"One-time",IFERROR(VLOOKUP(A173,'VIP Signups'!$A$5:$B$204,2,FALSE),D173),"Manual",TODAY(),TODAY())),0,IF(F173="",0,F173)))))</x:f>
      </x:c>
      <x:c r="H173" s="19" t="str">
        <x:f>IF(A173="","",SWITCH(C173,"Daily",TODAY()+1,"Weekly",IFERROR(VLOOKUP(A173,'VIP Signups'!$A$5:$B$204,2,FALSE)+CEILING((TODAY()-VLOOKUP(A173,'VIP Signups'!$A$5:$B$204,2,FALSE)+1)/7,1)*7,D173+7),"Monthly",IFERROR(EDATE(VLOOKUP(A173,'VIP Signups'!$A$5:$B$204,2,FALSE),DATEDIF(VLOOKUP(A173,'VIP Signups'!$A$5:$B$204,2,FALSE),TODAY(),"M")+1),EDATE(D173,1)),"Quarterly",IFERROR(EDATE(VLOOKUP(A173,'VIP Signups'!$A$5:$B$204,2,FALSE),(INT(DATEDIF(VLOOKUP(A173,'VIP Signups'!$A$5:$B$204,2,FALSE),TODAY(),"M")/3)+1)*3),EDATE(D173,3)),"Yearly",IFERROR(EDATE(VLOOKUP(A173,'VIP Signups'!$A$5:$B$204,2,FALSE),(DATEDIF(VLOOKUP(A173,'VIP Signups'!$A$5:$B$204,2,FALSE),TODAY(),"Y")+1)*12),EDATE(D173,12)),"One-time","Used","Manual","Manual",""))</x:f>
      </x:c>
      <x:c r="I173" s="18" t="str">
        <x:f>IF(A173="","",IF(G173="Manual","Manual",IF(G173&gt;0,"Yes","No")))</x:f>
      </x:c>
      <x:c r="J173" s="18" t="str">
        <x:f>IF(A173="","",B173&amp;": "&amp;IF(I173="Yes","Available ("&amp;G173&amp;"/"&amp;IF(E173="",1,E173)&amp;" left)",IF(I173="Manual","Manual check",IF(ISNUMBER(H173),"0/"&amp;IF(E173="",1,E173)&amp;" left; resets "&amp;TEXT(H173,"yyyy-mm-dd"),"Used"))))</x:f>
      </x:c>
      <x:c r="K173" s="18"/>
      <x:c r="L173" s="18" t="str">
        <x:v>Yes</x:v>
      </x:c>
      <x:c r="M173" s="18" t="str">
        <x:f>IF(A173="","",A173&amp;"|"&amp;B173)</x:f>
      </x:c>
      <x:c r="N173" s="18"/>
    </x:row>
    <x:row r="174">
      <x:c r="A174" s="18"/>
      <x:c r="B174" s="18"/>
      <x:c r="C174" s="18"/>
      <x:c r="D174" s="19"/>
      <x:c r="E174" s="20"/>
      <x:c r="F174" s="20"/>
      <x:c r="G174" s="20" t="str">
        <x:f>IF(A174="","",IF(C174="Manual","Manual",MAX(0,IF(E174="",1,E174)-IF(OR(D174="",D174&lt;SWITCH(C174,"Daily",TODAY(),"Weekly",IFERROR(VLOOKUP(A174,'VIP Signups'!$A$5:$B$204,2,FALSE)+INT((TODAY()-VLOOKUP(A174,'VIP Signups'!$A$5:$B$204,2,FALSE))/7)*7,TODAY()),"Monthly",IFERROR(EDATE(VLOOKUP(A174,'VIP Signups'!$A$5:$B$204,2,FALSE),DATEDIF(VLOOKUP(A174,'VIP Signups'!$A$5:$B$204,2,FALSE),TODAY(),"M")),TODAY()),"Quarterly",IFERROR(EDATE(VLOOKUP(A174,'VIP Signups'!$A$5:$B$204,2,FALSE),INT(DATEDIF(VLOOKUP(A174,'VIP Signups'!$A$5:$B$204,2,FALSE),TODAY(),"M")/3)*3),TODAY()),"Yearly",IFERROR(EDATE(VLOOKUP(A174,'VIP Signups'!$A$5:$B$204,2,FALSE),DATEDIF(VLOOKUP(A174,'VIP Signups'!$A$5:$B$204,2,FALSE),TODAY(),"Y")*12),TODAY()),"One-time",IFERROR(VLOOKUP(A174,'VIP Signups'!$A$5:$B$204,2,FALSE),D174),"Manual",TODAY(),TODAY())),0,IF(F174="",0,F174)))))</x:f>
      </x:c>
      <x:c r="H174" s="19" t="str">
        <x:f>IF(A174="","",SWITCH(C174,"Daily",TODAY()+1,"Weekly",IFERROR(VLOOKUP(A174,'VIP Signups'!$A$5:$B$204,2,FALSE)+CEILING((TODAY()-VLOOKUP(A174,'VIP Signups'!$A$5:$B$204,2,FALSE)+1)/7,1)*7,D174+7),"Monthly",IFERROR(EDATE(VLOOKUP(A174,'VIP Signups'!$A$5:$B$204,2,FALSE),DATEDIF(VLOOKUP(A174,'VIP Signups'!$A$5:$B$204,2,FALSE),TODAY(),"M")+1),EDATE(D174,1)),"Quarterly",IFERROR(EDATE(VLOOKUP(A174,'VIP Signups'!$A$5:$B$204,2,FALSE),(INT(DATEDIF(VLOOKUP(A174,'VIP Signups'!$A$5:$B$204,2,FALSE),TODAY(),"M")/3)+1)*3),EDATE(D174,3)),"Yearly",IFERROR(EDATE(VLOOKUP(A174,'VIP Signups'!$A$5:$B$204,2,FALSE),(DATEDIF(VLOOKUP(A174,'VIP Signups'!$A$5:$B$204,2,FALSE),TODAY(),"Y")+1)*12),EDATE(D174,12)),"One-time","Used","Manual","Manual",""))</x:f>
      </x:c>
      <x:c r="I174" s="18" t="str">
        <x:f>IF(A174="","",IF(G174="Manual","Manual",IF(G174&gt;0,"Yes","No")))</x:f>
      </x:c>
      <x:c r="J174" s="18" t="str">
        <x:f>IF(A174="","",B174&amp;": "&amp;IF(I174="Yes","Available ("&amp;G174&amp;"/"&amp;IF(E174="",1,E174)&amp;" left)",IF(I174="Manual","Manual check",IF(ISNUMBER(H174),"0/"&amp;IF(E174="",1,E174)&amp;" left; resets "&amp;TEXT(H174,"yyyy-mm-dd"),"Used"))))</x:f>
      </x:c>
      <x:c r="K174" s="18"/>
      <x:c r="L174" s="18" t="str">
        <x:v>Yes</x:v>
      </x:c>
      <x:c r="M174" s="18" t="str">
        <x:f>IF(A174="","",A174&amp;"|"&amp;B174)</x:f>
      </x:c>
      <x:c r="N174" s="18"/>
    </x:row>
    <x:row r="175">
      <x:c r="A175" s="18"/>
      <x:c r="B175" s="18"/>
      <x:c r="C175" s="18"/>
      <x:c r="D175" s="19"/>
      <x:c r="E175" s="20"/>
      <x:c r="F175" s="20"/>
      <x:c r="G175" s="20" t="str">
        <x:f>IF(A175="","",IF(C175="Manual","Manual",MAX(0,IF(E175="",1,E175)-IF(OR(D175="",D175&lt;SWITCH(C175,"Daily",TODAY(),"Weekly",IFERROR(VLOOKUP(A175,'VIP Signups'!$A$5:$B$204,2,FALSE)+INT((TODAY()-VLOOKUP(A175,'VIP Signups'!$A$5:$B$204,2,FALSE))/7)*7,TODAY()),"Monthly",IFERROR(EDATE(VLOOKUP(A175,'VIP Signups'!$A$5:$B$204,2,FALSE),DATEDIF(VLOOKUP(A175,'VIP Signups'!$A$5:$B$204,2,FALSE),TODAY(),"M")),TODAY()),"Quarterly",IFERROR(EDATE(VLOOKUP(A175,'VIP Signups'!$A$5:$B$204,2,FALSE),INT(DATEDIF(VLOOKUP(A175,'VIP Signups'!$A$5:$B$204,2,FALSE),TODAY(),"M")/3)*3),TODAY()),"Yearly",IFERROR(EDATE(VLOOKUP(A175,'VIP Signups'!$A$5:$B$204,2,FALSE),DATEDIF(VLOOKUP(A175,'VIP Signups'!$A$5:$B$204,2,FALSE),TODAY(),"Y")*12),TODAY()),"One-time",IFERROR(VLOOKUP(A175,'VIP Signups'!$A$5:$B$204,2,FALSE),D175),"Manual",TODAY(),TODAY())),0,IF(F175="",0,F175)))))</x:f>
      </x:c>
      <x:c r="H175" s="19" t="str">
        <x:f>IF(A175="","",SWITCH(C175,"Daily",TODAY()+1,"Weekly",IFERROR(VLOOKUP(A175,'VIP Signups'!$A$5:$B$204,2,FALSE)+CEILING((TODAY()-VLOOKUP(A175,'VIP Signups'!$A$5:$B$204,2,FALSE)+1)/7,1)*7,D175+7),"Monthly",IFERROR(EDATE(VLOOKUP(A175,'VIP Signups'!$A$5:$B$204,2,FALSE),DATEDIF(VLOOKUP(A175,'VIP Signups'!$A$5:$B$204,2,FALSE),TODAY(),"M")+1),EDATE(D175,1)),"Quarterly",IFERROR(EDATE(VLOOKUP(A175,'VIP Signups'!$A$5:$B$204,2,FALSE),(INT(DATEDIF(VLOOKUP(A175,'VIP Signups'!$A$5:$B$204,2,FALSE),TODAY(),"M")/3)+1)*3),EDATE(D175,3)),"Yearly",IFERROR(EDATE(VLOOKUP(A175,'VIP Signups'!$A$5:$B$204,2,FALSE),(DATEDIF(VLOOKUP(A175,'VIP Signups'!$A$5:$B$204,2,FALSE),TODAY(),"Y")+1)*12),EDATE(D175,12)),"One-time","Used","Manual","Manual",""))</x:f>
      </x:c>
      <x:c r="I175" s="18" t="str">
        <x:f>IF(A175="","",IF(G175="Manual","Manual",IF(G175&gt;0,"Yes","No")))</x:f>
      </x:c>
      <x:c r="J175" s="18" t="str">
        <x:f>IF(A175="","",B175&amp;": "&amp;IF(I175="Yes","Available ("&amp;G175&amp;"/"&amp;IF(E175="",1,E175)&amp;" left)",IF(I175="Manual","Manual check",IF(ISNUMBER(H175),"0/"&amp;IF(E175="",1,E175)&amp;" left; resets "&amp;TEXT(H175,"yyyy-mm-dd"),"Used"))))</x:f>
      </x:c>
      <x:c r="K175" s="18"/>
      <x:c r="L175" s="18" t="str">
        <x:v>Yes</x:v>
      </x:c>
      <x:c r="M175" s="18" t="str">
        <x:f>IF(A175="","",A175&amp;"|"&amp;B175)</x:f>
      </x:c>
      <x:c r="N175" s="18"/>
    </x:row>
    <x:row r="176">
      <x:c r="A176" s="18"/>
      <x:c r="B176" s="18"/>
      <x:c r="C176" s="18"/>
      <x:c r="D176" s="19"/>
      <x:c r="E176" s="20"/>
      <x:c r="F176" s="20"/>
      <x:c r="G176" s="20" t="str">
        <x:f>IF(A176="","",IF(C176="Manual","Manual",MAX(0,IF(E176="",1,E176)-IF(OR(D176="",D176&lt;SWITCH(C176,"Daily",TODAY(),"Weekly",IFERROR(VLOOKUP(A176,'VIP Signups'!$A$5:$B$204,2,FALSE)+INT((TODAY()-VLOOKUP(A176,'VIP Signups'!$A$5:$B$204,2,FALSE))/7)*7,TODAY()),"Monthly",IFERROR(EDATE(VLOOKUP(A176,'VIP Signups'!$A$5:$B$204,2,FALSE),DATEDIF(VLOOKUP(A176,'VIP Signups'!$A$5:$B$204,2,FALSE),TODAY(),"M")),TODAY()),"Quarterly",IFERROR(EDATE(VLOOKUP(A176,'VIP Signups'!$A$5:$B$204,2,FALSE),INT(DATEDIF(VLOOKUP(A176,'VIP Signups'!$A$5:$B$204,2,FALSE),TODAY(),"M")/3)*3),TODAY()),"Yearly",IFERROR(EDATE(VLOOKUP(A176,'VIP Signups'!$A$5:$B$204,2,FALSE),DATEDIF(VLOOKUP(A176,'VIP Signups'!$A$5:$B$204,2,FALSE),TODAY(),"Y")*12),TODAY()),"One-time",IFERROR(VLOOKUP(A176,'VIP Signups'!$A$5:$B$204,2,FALSE),D176),"Manual",TODAY(),TODAY())),0,IF(F176="",0,F176)))))</x:f>
      </x:c>
      <x:c r="H176" s="19" t="str">
        <x:f>IF(A176="","",SWITCH(C176,"Daily",TODAY()+1,"Weekly",IFERROR(VLOOKUP(A176,'VIP Signups'!$A$5:$B$204,2,FALSE)+CEILING((TODAY()-VLOOKUP(A176,'VIP Signups'!$A$5:$B$204,2,FALSE)+1)/7,1)*7,D176+7),"Monthly",IFERROR(EDATE(VLOOKUP(A176,'VIP Signups'!$A$5:$B$204,2,FALSE),DATEDIF(VLOOKUP(A176,'VIP Signups'!$A$5:$B$204,2,FALSE),TODAY(),"M")+1),EDATE(D176,1)),"Quarterly",IFERROR(EDATE(VLOOKUP(A176,'VIP Signups'!$A$5:$B$204,2,FALSE),(INT(DATEDIF(VLOOKUP(A176,'VIP Signups'!$A$5:$B$204,2,FALSE),TODAY(),"M")/3)+1)*3),EDATE(D176,3)),"Yearly",IFERROR(EDATE(VLOOKUP(A176,'VIP Signups'!$A$5:$B$204,2,FALSE),(DATEDIF(VLOOKUP(A176,'VIP Signups'!$A$5:$B$204,2,FALSE),TODAY(),"Y")+1)*12),EDATE(D176,12)),"One-time","Used","Manual","Manual",""))</x:f>
      </x:c>
      <x:c r="I176" s="18" t="str">
        <x:f>IF(A176="","",IF(G176="Manual","Manual",IF(G176&gt;0,"Yes","No")))</x:f>
      </x:c>
      <x:c r="J176" s="18" t="str">
        <x:f>IF(A176="","",B176&amp;": "&amp;IF(I176="Yes","Available ("&amp;G176&amp;"/"&amp;IF(E176="",1,E176)&amp;" left)",IF(I176="Manual","Manual check",IF(ISNUMBER(H176),"0/"&amp;IF(E176="",1,E176)&amp;" left; resets "&amp;TEXT(H176,"yyyy-mm-dd"),"Used"))))</x:f>
      </x:c>
      <x:c r="K176" s="18"/>
      <x:c r="L176" s="18" t="str">
        <x:v>Yes</x:v>
      </x:c>
      <x:c r="M176" s="18" t="str">
        <x:f>IF(A176="","",A176&amp;"|"&amp;B176)</x:f>
      </x:c>
      <x:c r="N176" s="18"/>
    </x:row>
    <x:row r="177">
      <x:c r="A177" s="18"/>
      <x:c r="B177" s="18"/>
      <x:c r="C177" s="18"/>
      <x:c r="D177" s="19"/>
      <x:c r="E177" s="20"/>
      <x:c r="F177" s="20"/>
      <x:c r="G177" s="20" t="str">
        <x:f>IF(A177="","",IF(C177="Manual","Manual",MAX(0,IF(E177="",1,E177)-IF(OR(D177="",D177&lt;SWITCH(C177,"Daily",TODAY(),"Weekly",IFERROR(VLOOKUP(A177,'VIP Signups'!$A$5:$B$204,2,FALSE)+INT((TODAY()-VLOOKUP(A177,'VIP Signups'!$A$5:$B$204,2,FALSE))/7)*7,TODAY()),"Monthly",IFERROR(EDATE(VLOOKUP(A177,'VIP Signups'!$A$5:$B$204,2,FALSE),DATEDIF(VLOOKUP(A177,'VIP Signups'!$A$5:$B$204,2,FALSE),TODAY(),"M")),TODAY()),"Quarterly",IFERROR(EDATE(VLOOKUP(A177,'VIP Signups'!$A$5:$B$204,2,FALSE),INT(DATEDIF(VLOOKUP(A177,'VIP Signups'!$A$5:$B$204,2,FALSE),TODAY(),"M")/3)*3),TODAY()),"Yearly",IFERROR(EDATE(VLOOKUP(A177,'VIP Signups'!$A$5:$B$204,2,FALSE),DATEDIF(VLOOKUP(A177,'VIP Signups'!$A$5:$B$204,2,FALSE),TODAY(),"Y")*12),TODAY()),"One-time",IFERROR(VLOOKUP(A177,'VIP Signups'!$A$5:$B$204,2,FALSE),D177),"Manual",TODAY(),TODAY())),0,IF(F177="",0,F177)))))</x:f>
      </x:c>
      <x:c r="H177" s="19" t="str">
        <x:f>IF(A177="","",SWITCH(C177,"Daily",TODAY()+1,"Weekly",IFERROR(VLOOKUP(A177,'VIP Signups'!$A$5:$B$204,2,FALSE)+CEILING((TODAY()-VLOOKUP(A177,'VIP Signups'!$A$5:$B$204,2,FALSE)+1)/7,1)*7,D177+7),"Monthly",IFERROR(EDATE(VLOOKUP(A177,'VIP Signups'!$A$5:$B$204,2,FALSE),DATEDIF(VLOOKUP(A177,'VIP Signups'!$A$5:$B$204,2,FALSE),TODAY(),"M")+1),EDATE(D177,1)),"Quarterly",IFERROR(EDATE(VLOOKUP(A177,'VIP Signups'!$A$5:$B$204,2,FALSE),(INT(DATEDIF(VLOOKUP(A177,'VIP Signups'!$A$5:$B$204,2,FALSE),TODAY(),"M")/3)+1)*3),EDATE(D177,3)),"Yearly",IFERROR(EDATE(VLOOKUP(A177,'VIP Signups'!$A$5:$B$204,2,FALSE),(DATEDIF(VLOOKUP(A177,'VIP Signups'!$A$5:$B$204,2,FALSE),TODAY(),"Y")+1)*12),EDATE(D177,12)),"One-time","Used","Manual","Manual",""))</x:f>
      </x:c>
      <x:c r="I177" s="18" t="str">
        <x:f>IF(A177="","",IF(G177="Manual","Manual",IF(G177&gt;0,"Yes","No")))</x:f>
      </x:c>
      <x:c r="J177" s="18" t="str">
        <x:f>IF(A177="","",B177&amp;": "&amp;IF(I177="Yes","Available ("&amp;G177&amp;"/"&amp;IF(E177="",1,E177)&amp;" left)",IF(I177="Manual","Manual check",IF(ISNUMBER(H177),"0/"&amp;IF(E177="",1,E177)&amp;" left; resets "&amp;TEXT(H177,"yyyy-mm-dd"),"Used"))))</x:f>
      </x:c>
      <x:c r="K177" s="18"/>
      <x:c r="L177" s="18" t="str">
        <x:v>Yes</x:v>
      </x:c>
      <x:c r="M177" s="18" t="str">
        <x:f>IF(A177="","",A177&amp;"|"&amp;B177)</x:f>
      </x:c>
      <x:c r="N177" s="18"/>
    </x:row>
    <x:row r="178">
      <x:c r="A178" s="18"/>
      <x:c r="B178" s="18"/>
      <x:c r="C178" s="18"/>
      <x:c r="D178" s="19"/>
      <x:c r="E178" s="20"/>
      <x:c r="F178" s="20"/>
      <x:c r="G178" s="20" t="str">
        <x:f>IF(A178="","",IF(C178="Manual","Manual",MAX(0,IF(E178="",1,E178)-IF(OR(D178="",D178&lt;SWITCH(C178,"Daily",TODAY(),"Weekly",IFERROR(VLOOKUP(A178,'VIP Signups'!$A$5:$B$204,2,FALSE)+INT((TODAY()-VLOOKUP(A178,'VIP Signups'!$A$5:$B$204,2,FALSE))/7)*7,TODAY()),"Monthly",IFERROR(EDATE(VLOOKUP(A178,'VIP Signups'!$A$5:$B$204,2,FALSE),DATEDIF(VLOOKUP(A178,'VIP Signups'!$A$5:$B$204,2,FALSE),TODAY(),"M")),TODAY()),"Quarterly",IFERROR(EDATE(VLOOKUP(A178,'VIP Signups'!$A$5:$B$204,2,FALSE),INT(DATEDIF(VLOOKUP(A178,'VIP Signups'!$A$5:$B$204,2,FALSE),TODAY(),"M")/3)*3),TODAY()),"Yearly",IFERROR(EDATE(VLOOKUP(A178,'VIP Signups'!$A$5:$B$204,2,FALSE),DATEDIF(VLOOKUP(A178,'VIP Signups'!$A$5:$B$204,2,FALSE),TODAY(),"Y")*12),TODAY()),"One-time",IFERROR(VLOOKUP(A178,'VIP Signups'!$A$5:$B$204,2,FALSE),D178),"Manual",TODAY(),TODAY())),0,IF(F178="",0,F178)))))</x:f>
      </x:c>
      <x:c r="H178" s="19" t="str">
        <x:f>IF(A178="","",SWITCH(C178,"Daily",TODAY()+1,"Weekly",IFERROR(VLOOKUP(A178,'VIP Signups'!$A$5:$B$204,2,FALSE)+CEILING((TODAY()-VLOOKUP(A178,'VIP Signups'!$A$5:$B$204,2,FALSE)+1)/7,1)*7,D178+7),"Monthly",IFERROR(EDATE(VLOOKUP(A178,'VIP Signups'!$A$5:$B$204,2,FALSE),DATEDIF(VLOOKUP(A178,'VIP Signups'!$A$5:$B$204,2,FALSE),TODAY(),"M")+1),EDATE(D178,1)),"Quarterly",IFERROR(EDATE(VLOOKUP(A178,'VIP Signups'!$A$5:$B$204,2,FALSE),(INT(DATEDIF(VLOOKUP(A178,'VIP Signups'!$A$5:$B$204,2,FALSE),TODAY(),"M")/3)+1)*3),EDATE(D178,3)),"Yearly",IFERROR(EDATE(VLOOKUP(A178,'VIP Signups'!$A$5:$B$204,2,FALSE),(DATEDIF(VLOOKUP(A178,'VIP Signups'!$A$5:$B$204,2,FALSE),TODAY(),"Y")+1)*12),EDATE(D178,12)),"One-time","Used","Manual","Manual",""))</x:f>
      </x:c>
      <x:c r="I178" s="18" t="str">
        <x:f>IF(A178="","",IF(G178="Manual","Manual",IF(G178&gt;0,"Yes","No")))</x:f>
      </x:c>
      <x:c r="J178" s="18" t="str">
        <x:f>IF(A178="","",B178&amp;": "&amp;IF(I178="Yes","Available ("&amp;G178&amp;"/"&amp;IF(E178="",1,E178)&amp;" left)",IF(I178="Manual","Manual check",IF(ISNUMBER(H178),"0/"&amp;IF(E178="",1,E178)&amp;" left; resets "&amp;TEXT(H178,"yyyy-mm-dd"),"Used"))))</x:f>
      </x:c>
      <x:c r="K178" s="18"/>
      <x:c r="L178" s="18" t="str">
        <x:v>Yes</x:v>
      </x:c>
      <x:c r="M178" s="18" t="str">
        <x:f>IF(A178="","",A178&amp;"|"&amp;B178)</x:f>
      </x:c>
      <x:c r="N178" s="18"/>
    </x:row>
    <x:row r="179">
      <x:c r="A179" s="18"/>
      <x:c r="B179" s="18"/>
      <x:c r="C179" s="18"/>
      <x:c r="D179" s="19"/>
      <x:c r="E179" s="20"/>
      <x:c r="F179" s="20"/>
      <x:c r="G179" s="20" t="str">
        <x:f>IF(A179="","",IF(C179="Manual","Manual",MAX(0,IF(E179="",1,E179)-IF(OR(D179="",D179&lt;SWITCH(C179,"Daily",TODAY(),"Weekly",IFERROR(VLOOKUP(A179,'VIP Signups'!$A$5:$B$204,2,FALSE)+INT((TODAY()-VLOOKUP(A179,'VIP Signups'!$A$5:$B$204,2,FALSE))/7)*7,TODAY()),"Monthly",IFERROR(EDATE(VLOOKUP(A179,'VIP Signups'!$A$5:$B$204,2,FALSE),DATEDIF(VLOOKUP(A179,'VIP Signups'!$A$5:$B$204,2,FALSE),TODAY(),"M")),TODAY()),"Quarterly",IFERROR(EDATE(VLOOKUP(A179,'VIP Signups'!$A$5:$B$204,2,FALSE),INT(DATEDIF(VLOOKUP(A179,'VIP Signups'!$A$5:$B$204,2,FALSE),TODAY(),"M")/3)*3),TODAY()),"Yearly",IFERROR(EDATE(VLOOKUP(A179,'VIP Signups'!$A$5:$B$204,2,FALSE),DATEDIF(VLOOKUP(A179,'VIP Signups'!$A$5:$B$204,2,FALSE),TODAY(),"Y")*12),TODAY()),"One-time",IFERROR(VLOOKUP(A179,'VIP Signups'!$A$5:$B$204,2,FALSE),D179),"Manual",TODAY(),TODAY())),0,IF(F179="",0,F179)))))</x:f>
      </x:c>
      <x:c r="H179" s="19" t="str">
        <x:f>IF(A179="","",SWITCH(C179,"Daily",TODAY()+1,"Weekly",IFERROR(VLOOKUP(A179,'VIP Signups'!$A$5:$B$204,2,FALSE)+CEILING((TODAY()-VLOOKUP(A179,'VIP Signups'!$A$5:$B$204,2,FALSE)+1)/7,1)*7,D179+7),"Monthly",IFERROR(EDATE(VLOOKUP(A179,'VIP Signups'!$A$5:$B$204,2,FALSE),DATEDIF(VLOOKUP(A179,'VIP Signups'!$A$5:$B$204,2,FALSE),TODAY(),"M")+1),EDATE(D179,1)),"Quarterly",IFERROR(EDATE(VLOOKUP(A179,'VIP Signups'!$A$5:$B$204,2,FALSE),(INT(DATEDIF(VLOOKUP(A179,'VIP Signups'!$A$5:$B$204,2,FALSE),TODAY(),"M")/3)+1)*3),EDATE(D179,3)),"Yearly",IFERROR(EDATE(VLOOKUP(A179,'VIP Signups'!$A$5:$B$204,2,FALSE),(DATEDIF(VLOOKUP(A179,'VIP Signups'!$A$5:$B$204,2,FALSE),TODAY(),"Y")+1)*12),EDATE(D179,12)),"One-time","Used","Manual","Manual",""))</x:f>
      </x:c>
      <x:c r="I179" s="18" t="str">
        <x:f>IF(A179="","",IF(G179="Manual","Manual",IF(G179&gt;0,"Yes","No")))</x:f>
      </x:c>
      <x:c r="J179" s="18" t="str">
        <x:f>IF(A179="","",B179&amp;": "&amp;IF(I179="Yes","Available ("&amp;G179&amp;"/"&amp;IF(E179="",1,E179)&amp;" left)",IF(I179="Manual","Manual check",IF(ISNUMBER(H179),"0/"&amp;IF(E179="",1,E179)&amp;" left; resets "&amp;TEXT(H179,"yyyy-mm-dd"),"Used"))))</x:f>
      </x:c>
      <x:c r="K179" s="18"/>
      <x:c r="L179" s="18" t="str">
        <x:v>Yes</x:v>
      </x:c>
      <x:c r="M179" s="18" t="str">
        <x:f>IF(A179="","",A179&amp;"|"&amp;B179)</x:f>
      </x:c>
      <x:c r="N179" s="18"/>
    </x:row>
    <x:row r="180">
      <x:c r="A180" s="18"/>
      <x:c r="B180" s="18"/>
      <x:c r="C180" s="18"/>
      <x:c r="D180" s="19"/>
      <x:c r="E180" s="20"/>
      <x:c r="F180" s="20"/>
      <x:c r="G180" s="20" t="str">
        <x:f>IF(A180="","",IF(C180="Manual","Manual",MAX(0,IF(E180="",1,E180)-IF(OR(D180="",D180&lt;SWITCH(C180,"Daily",TODAY(),"Weekly",IFERROR(VLOOKUP(A180,'VIP Signups'!$A$5:$B$204,2,FALSE)+INT((TODAY()-VLOOKUP(A180,'VIP Signups'!$A$5:$B$204,2,FALSE))/7)*7,TODAY()),"Monthly",IFERROR(EDATE(VLOOKUP(A180,'VIP Signups'!$A$5:$B$204,2,FALSE),DATEDIF(VLOOKUP(A180,'VIP Signups'!$A$5:$B$204,2,FALSE),TODAY(),"M")),TODAY()),"Quarterly",IFERROR(EDATE(VLOOKUP(A180,'VIP Signups'!$A$5:$B$204,2,FALSE),INT(DATEDIF(VLOOKUP(A180,'VIP Signups'!$A$5:$B$204,2,FALSE),TODAY(),"M")/3)*3),TODAY()),"Yearly",IFERROR(EDATE(VLOOKUP(A180,'VIP Signups'!$A$5:$B$204,2,FALSE),DATEDIF(VLOOKUP(A180,'VIP Signups'!$A$5:$B$204,2,FALSE),TODAY(),"Y")*12),TODAY()),"One-time",IFERROR(VLOOKUP(A180,'VIP Signups'!$A$5:$B$204,2,FALSE),D180),"Manual",TODAY(),TODAY())),0,IF(F180="",0,F180)))))</x:f>
      </x:c>
      <x:c r="H180" s="19" t="str">
        <x:f>IF(A180="","",SWITCH(C180,"Daily",TODAY()+1,"Weekly",IFERROR(VLOOKUP(A180,'VIP Signups'!$A$5:$B$204,2,FALSE)+CEILING((TODAY()-VLOOKUP(A180,'VIP Signups'!$A$5:$B$204,2,FALSE)+1)/7,1)*7,D180+7),"Monthly",IFERROR(EDATE(VLOOKUP(A180,'VIP Signups'!$A$5:$B$204,2,FALSE),DATEDIF(VLOOKUP(A180,'VIP Signups'!$A$5:$B$204,2,FALSE),TODAY(),"M")+1),EDATE(D180,1)),"Quarterly",IFERROR(EDATE(VLOOKUP(A180,'VIP Signups'!$A$5:$B$204,2,FALSE),(INT(DATEDIF(VLOOKUP(A180,'VIP Signups'!$A$5:$B$204,2,FALSE),TODAY(),"M")/3)+1)*3),EDATE(D180,3)),"Yearly",IFERROR(EDATE(VLOOKUP(A180,'VIP Signups'!$A$5:$B$204,2,FALSE),(DATEDIF(VLOOKUP(A180,'VIP Signups'!$A$5:$B$204,2,FALSE),TODAY(),"Y")+1)*12),EDATE(D180,12)),"One-time","Used","Manual","Manual",""))</x:f>
      </x:c>
      <x:c r="I180" s="18" t="str">
        <x:f>IF(A180="","",IF(G180="Manual","Manual",IF(G180&gt;0,"Yes","No")))</x:f>
      </x:c>
      <x:c r="J180" s="18" t="str">
        <x:f>IF(A180="","",B180&amp;": "&amp;IF(I180="Yes","Available ("&amp;G180&amp;"/"&amp;IF(E180="",1,E180)&amp;" left)",IF(I180="Manual","Manual check",IF(ISNUMBER(H180),"0/"&amp;IF(E180="",1,E180)&amp;" left; resets "&amp;TEXT(H180,"yyyy-mm-dd"),"Used"))))</x:f>
      </x:c>
      <x:c r="K180" s="18"/>
      <x:c r="L180" s="18" t="str">
        <x:v>Yes</x:v>
      </x:c>
      <x:c r="M180" s="18" t="str">
        <x:f>IF(A180="","",A180&amp;"|"&amp;B180)</x:f>
      </x:c>
      <x:c r="N180" s="18"/>
    </x:row>
    <x:row r="181">
      <x:c r="A181" s="18"/>
      <x:c r="B181" s="18"/>
      <x:c r="C181" s="18"/>
      <x:c r="D181" s="19"/>
      <x:c r="E181" s="20"/>
      <x:c r="F181" s="20"/>
      <x:c r="G181" s="20" t="str">
        <x:f>IF(A181="","",IF(C181="Manual","Manual",MAX(0,IF(E181="",1,E181)-IF(OR(D181="",D181&lt;SWITCH(C181,"Daily",TODAY(),"Weekly",IFERROR(VLOOKUP(A181,'VIP Signups'!$A$5:$B$204,2,FALSE)+INT((TODAY()-VLOOKUP(A181,'VIP Signups'!$A$5:$B$204,2,FALSE))/7)*7,TODAY()),"Monthly",IFERROR(EDATE(VLOOKUP(A181,'VIP Signups'!$A$5:$B$204,2,FALSE),DATEDIF(VLOOKUP(A181,'VIP Signups'!$A$5:$B$204,2,FALSE),TODAY(),"M")),TODAY()),"Quarterly",IFERROR(EDATE(VLOOKUP(A181,'VIP Signups'!$A$5:$B$204,2,FALSE),INT(DATEDIF(VLOOKUP(A181,'VIP Signups'!$A$5:$B$204,2,FALSE),TODAY(),"M")/3)*3),TODAY()),"Yearly",IFERROR(EDATE(VLOOKUP(A181,'VIP Signups'!$A$5:$B$204,2,FALSE),DATEDIF(VLOOKUP(A181,'VIP Signups'!$A$5:$B$204,2,FALSE),TODAY(),"Y")*12),TODAY()),"One-time",IFERROR(VLOOKUP(A181,'VIP Signups'!$A$5:$B$204,2,FALSE),D181),"Manual",TODAY(),TODAY())),0,IF(F181="",0,F181)))))</x:f>
      </x:c>
      <x:c r="H181" s="19" t="str">
        <x:f>IF(A181="","",SWITCH(C181,"Daily",TODAY()+1,"Weekly",IFERROR(VLOOKUP(A181,'VIP Signups'!$A$5:$B$204,2,FALSE)+CEILING((TODAY()-VLOOKUP(A181,'VIP Signups'!$A$5:$B$204,2,FALSE)+1)/7,1)*7,D181+7),"Monthly",IFERROR(EDATE(VLOOKUP(A181,'VIP Signups'!$A$5:$B$204,2,FALSE),DATEDIF(VLOOKUP(A181,'VIP Signups'!$A$5:$B$204,2,FALSE),TODAY(),"M")+1),EDATE(D181,1)),"Quarterly",IFERROR(EDATE(VLOOKUP(A181,'VIP Signups'!$A$5:$B$204,2,FALSE),(INT(DATEDIF(VLOOKUP(A181,'VIP Signups'!$A$5:$B$204,2,FALSE),TODAY(),"M")/3)+1)*3),EDATE(D181,3)),"Yearly",IFERROR(EDATE(VLOOKUP(A181,'VIP Signups'!$A$5:$B$204,2,FALSE),(DATEDIF(VLOOKUP(A181,'VIP Signups'!$A$5:$B$204,2,FALSE),TODAY(),"Y")+1)*12),EDATE(D181,12)),"One-time","Used","Manual","Manual",""))</x:f>
      </x:c>
      <x:c r="I181" s="18" t="str">
        <x:f>IF(A181="","",IF(G181="Manual","Manual",IF(G181&gt;0,"Yes","No")))</x:f>
      </x:c>
      <x:c r="J181" s="18" t="str">
        <x:f>IF(A181="","",B181&amp;": "&amp;IF(I181="Yes","Available ("&amp;G181&amp;"/"&amp;IF(E181="",1,E181)&amp;" left)",IF(I181="Manual","Manual check",IF(ISNUMBER(H181),"0/"&amp;IF(E181="",1,E181)&amp;" left; resets "&amp;TEXT(H181,"yyyy-mm-dd"),"Used"))))</x:f>
      </x:c>
      <x:c r="K181" s="18"/>
      <x:c r="L181" s="18" t="str">
        <x:v>Yes</x:v>
      </x:c>
      <x:c r="M181" s="18" t="str">
        <x:f>IF(A181="","",A181&amp;"|"&amp;B181)</x:f>
      </x:c>
      <x:c r="N181" s="18"/>
    </x:row>
    <x:row r="182">
      <x:c r="A182" s="18"/>
      <x:c r="B182" s="18"/>
      <x:c r="C182" s="18"/>
      <x:c r="D182" s="19"/>
      <x:c r="E182" s="20"/>
      <x:c r="F182" s="20"/>
      <x:c r="G182" s="20" t="str">
        <x:f>IF(A182="","",IF(C182="Manual","Manual",MAX(0,IF(E182="",1,E182)-IF(OR(D182="",D182&lt;SWITCH(C182,"Daily",TODAY(),"Weekly",IFERROR(VLOOKUP(A182,'VIP Signups'!$A$5:$B$204,2,FALSE)+INT((TODAY()-VLOOKUP(A182,'VIP Signups'!$A$5:$B$204,2,FALSE))/7)*7,TODAY()),"Monthly",IFERROR(EDATE(VLOOKUP(A182,'VIP Signups'!$A$5:$B$204,2,FALSE),DATEDIF(VLOOKUP(A182,'VIP Signups'!$A$5:$B$204,2,FALSE),TODAY(),"M")),TODAY()),"Quarterly",IFERROR(EDATE(VLOOKUP(A182,'VIP Signups'!$A$5:$B$204,2,FALSE),INT(DATEDIF(VLOOKUP(A182,'VIP Signups'!$A$5:$B$204,2,FALSE),TODAY(),"M")/3)*3),TODAY()),"Yearly",IFERROR(EDATE(VLOOKUP(A182,'VIP Signups'!$A$5:$B$204,2,FALSE),DATEDIF(VLOOKUP(A182,'VIP Signups'!$A$5:$B$204,2,FALSE),TODAY(),"Y")*12),TODAY()),"One-time",IFERROR(VLOOKUP(A182,'VIP Signups'!$A$5:$B$204,2,FALSE),D182),"Manual",TODAY(),TODAY())),0,IF(F182="",0,F182)))))</x:f>
      </x:c>
      <x:c r="H182" s="19" t="str">
        <x:f>IF(A182="","",SWITCH(C182,"Daily",TODAY()+1,"Weekly",IFERROR(VLOOKUP(A182,'VIP Signups'!$A$5:$B$204,2,FALSE)+CEILING((TODAY()-VLOOKUP(A182,'VIP Signups'!$A$5:$B$204,2,FALSE)+1)/7,1)*7,D182+7),"Monthly",IFERROR(EDATE(VLOOKUP(A182,'VIP Signups'!$A$5:$B$204,2,FALSE),DATEDIF(VLOOKUP(A182,'VIP Signups'!$A$5:$B$204,2,FALSE),TODAY(),"M")+1),EDATE(D182,1)),"Quarterly",IFERROR(EDATE(VLOOKUP(A182,'VIP Signups'!$A$5:$B$204,2,FALSE),(INT(DATEDIF(VLOOKUP(A182,'VIP Signups'!$A$5:$B$204,2,FALSE),TODAY(),"M")/3)+1)*3),EDATE(D182,3)),"Yearly",IFERROR(EDATE(VLOOKUP(A182,'VIP Signups'!$A$5:$B$204,2,FALSE),(DATEDIF(VLOOKUP(A182,'VIP Signups'!$A$5:$B$204,2,FALSE),TODAY(),"Y")+1)*12),EDATE(D182,12)),"One-time","Used","Manual","Manual",""))</x:f>
      </x:c>
      <x:c r="I182" s="18" t="str">
        <x:f>IF(A182="","",IF(G182="Manual","Manual",IF(G182&gt;0,"Yes","No")))</x:f>
      </x:c>
      <x:c r="J182" s="18" t="str">
        <x:f>IF(A182="","",B182&amp;": "&amp;IF(I182="Yes","Available ("&amp;G182&amp;"/"&amp;IF(E182="",1,E182)&amp;" left)",IF(I182="Manual","Manual check",IF(ISNUMBER(H182),"0/"&amp;IF(E182="",1,E182)&amp;" left; resets "&amp;TEXT(H182,"yyyy-mm-dd"),"Used"))))</x:f>
      </x:c>
      <x:c r="K182" s="18"/>
      <x:c r="L182" s="18" t="str">
        <x:v>Yes</x:v>
      </x:c>
      <x:c r="M182" s="18" t="str">
        <x:f>IF(A182="","",A182&amp;"|"&amp;B182)</x:f>
      </x:c>
      <x:c r="N182" s="18"/>
    </x:row>
    <x:row r="183">
      <x:c r="A183" s="18"/>
      <x:c r="B183" s="18"/>
      <x:c r="C183" s="18"/>
      <x:c r="D183" s="19"/>
      <x:c r="E183" s="20"/>
      <x:c r="F183" s="20"/>
      <x:c r="G183" s="20" t="str">
        <x:f>IF(A183="","",IF(C183="Manual","Manual",MAX(0,IF(E183="",1,E183)-IF(OR(D183="",D183&lt;SWITCH(C183,"Daily",TODAY(),"Weekly",IFERROR(VLOOKUP(A183,'VIP Signups'!$A$5:$B$204,2,FALSE)+INT((TODAY()-VLOOKUP(A183,'VIP Signups'!$A$5:$B$204,2,FALSE))/7)*7,TODAY()),"Monthly",IFERROR(EDATE(VLOOKUP(A183,'VIP Signups'!$A$5:$B$204,2,FALSE),DATEDIF(VLOOKUP(A183,'VIP Signups'!$A$5:$B$204,2,FALSE),TODAY(),"M")),TODAY()),"Quarterly",IFERROR(EDATE(VLOOKUP(A183,'VIP Signups'!$A$5:$B$204,2,FALSE),INT(DATEDIF(VLOOKUP(A183,'VIP Signups'!$A$5:$B$204,2,FALSE),TODAY(),"M")/3)*3),TODAY()),"Yearly",IFERROR(EDATE(VLOOKUP(A183,'VIP Signups'!$A$5:$B$204,2,FALSE),DATEDIF(VLOOKUP(A183,'VIP Signups'!$A$5:$B$204,2,FALSE),TODAY(),"Y")*12),TODAY()),"One-time",IFERROR(VLOOKUP(A183,'VIP Signups'!$A$5:$B$204,2,FALSE),D183),"Manual",TODAY(),TODAY())),0,IF(F183="",0,F183)))))</x:f>
      </x:c>
      <x:c r="H183" s="19" t="str">
        <x:f>IF(A183="","",SWITCH(C183,"Daily",TODAY()+1,"Weekly",IFERROR(VLOOKUP(A183,'VIP Signups'!$A$5:$B$204,2,FALSE)+CEILING((TODAY()-VLOOKUP(A183,'VIP Signups'!$A$5:$B$204,2,FALSE)+1)/7,1)*7,D183+7),"Monthly",IFERROR(EDATE(VLOOKUP(A183,'VIP Signups'!$A$5:$B$204,2,FALSE),DATEDIF(VLOOKUP(A183,'VIP Signups'!$A$5:$B$204,2,FALSE),TODAY(),"M")+1),EDATE(D183,1)),"Quarterly",IFERROR(EDATE(VLOOKUP(A183,'VIP Signups'!$A$5:$B$204,2,FALSE),(INT(DATEDIF(VLOOKUP(A183,'VIP Signups'!$A$5:$B$204,2,FALSE),TODAY(),"M")/3)+1)*3),EDATE(D183,3)),"Yearly",IFERROR(EDATE(VLOOKUP(A183,'VIP Signups'!$A$5:$B$204,2,FALSE),(DATEDIF(VLOOKUP(A183,'VIP Signups'!$A$5:$B$204,2,FALSE),TODAY(),"Y")+1)*12),EDATE(D183,12)),"One-time","Used","Manual","Manual",""))</x:f>
      </x:c>
      <x:c r="I183" s="18" t="str">
        <x:f>IF(A183="","",IF(G183="Manual","Manual",IF(G183&gt;0,"Yes","No")))</x:f>
      </x:c>
      <x:c r="J183" s="18" t="str">
        <x:f>IF(A183="","",B183&amp;": "&amp;IF(I183="Yes","Available ("&amp;G183&amp;"/"&amp;IF(E183="",1,E183)&amp;" left)",IF(I183="Manual","Manual check",IF(ISNUMBER(H183),"0/"&amp;IF(E183="",1,E183)&amp;" left; resets "&amp;TEXT(H183,"yyyy-mm-dd"),"Used"))))</x:f>
      </x:c>
      <x:c r="K183" s="18"/>
      <x:c r="L183" s="18" t="str">
        <x:v>Yes</x:v>
      </x:c>
      <x:c r="M183" s="18" t="str">
        <x:f>IF(A183="","",A183&amp;"|"&amp;B183)</x:f>
      </x:c>
      <x:c r="N183" s="18"/>
    </x:row>
    <x:row r="184">
      <x:c r="A184" s="18"/>
      <x:c r="B184" s="18"/>
      <x:c r="C184" s="18"/>
      <x:c r="D184" s="19"/>
      <x:c r="E184" s="20"/>
      <x:c r="F184" s="20"/>
      <x:c r="G184" s="20" t="str">
        <x:f>IF(A184="","",IF(C184="Manual","Manual",MAX(0,IF(E184="",1,E184)-IF(OR(D184="",D184&lt;SWITCH(C184,"Daily",TODAY(),"Weekly",IFERROR(VLOOKUP(A184,'VIP Signups'!$A$5:$B$204,2,FALSE)+INT((TODAY()-VLOOKUP(A184,'VIP Signups'!$A$5:$B$204,2,FALSE))/7)*7,TODAY()),"Monthly",IFERROR(EDATE(VLOOKUP(A184,'VIP Signups'!$A$5:$B$204,2,FALSE),DATEDIF(VLOOKUP(A184,'VIP Signups'!$A$5:$B$204,2,FALSE),TODAY(),"M")),TODAY()),"Quarterly",IFERROR(EDATE(VLOOKUP(A184,'VIP Signups'!$A$5:$B$204,2,FALSE),INT(DATEDIF(VLOOKUP(A184,'VIP Signups'!$A$5:$B$204,2,FALSE),TODAY(),"M")/3)*3),TODAY()),"Yearly",IFERROR(EDATE(VLOOKUP(A184,'VIP Signups'!$A$5:$B$204,2,FALSE),DATEDIF(VLOOKUP(A184,'VIP Signups'!$A$5:$B$204,2,FALSE),TODAY(),"Y")*12),TODAY()),"One-time",IFERROR(VLOOKUP(A184,'VIP Signups'!$A$5:$B$204,2,FALSE),D184),"Manual",TODAY(),TODAY())),0,IF(F184="",0,F184)))))</x:f>
      </x:c>
      <x:c r="H184" s="19" t="str">
        <x:f>IF(A184="","",SWITCH(C184,"Daily",TODAY()+1,"Weekly",IFERROR(VLOOKUP(A184,'VIP Signups'!$A$5:$B$204,2,FALSE)+CEILING((TODAY()-VLOOKUP(A184,'VIP Signups'!$A$5:$B$204,2,FALSE)+1)/7,1)*7,D184+7),"Monthly",IFERROR(EDATE(VLOOKUP(A184,'VIP Signups'!$A$5:$B$204,2,FALSE),DATEDIF(VLOOKUP(A184,'VIP Signups'!$A$5:$B$204,2,FALSE),TODAY(),"M")+1),EDATE(D184,1)),"Quarterly",IFERROR(EDATE(VLOOKUP(A184,'VIP Signups'!$A$5:$B$204,2,FALSE),(INT(DATEDIF(VLOOKUP(A184,'VIP Signups'!$A$5:$B$204,2,FALSE),TODAY(),"M")/3)+1)*3),EDATE(D184,3)),"Yearly",IFERROR(EDATE(VLOOKUP(A184,'VIP Signups'!$A$5:$B$204,2,FALSE),(DATEDIF(VLOOKUP(A184,'VIP Signups'!$A$5:$B$204,2,FALSE),TODAY(),"Y")+1)*12),EDATE(D184,12)),"One-time","Used","Manual","Manual",""))</x:f>
      </x:c>
      <x:c r="I184" s="18" t="str">
        <x:f>IF(A184="","",IF(G184="Manual","Manual",IF(G184&gt;0,"Yes","No")))</x:f>
      </x:c>
      <x:c r="J184" s="18" t="str">
        <x:f>IF(A184="","",B184&amp;": "&amp;IF(I184="Yes","Available ("&amp;G184&amp;"/"&amp;IF(E184="",1,E184)&amp;" left)",IF(I184="Manual","Manual check",IF(ISNUMBER(H184),"0/"&amp;IF(E184="",1,E184)&amp;" left; resets "&amp;TEXT(H184,"yyyy-mm-dd"),"Used"))))</x:f>
      </x:c>
      <x:c r="K184" s="18"/>
      <x:c r="L184" s="18" t="str">
        <x:v>Yes</x:v>
      </x:c>
      <x:c r="M184" s="18" t="str">
        <x:f>IF(A184="","",A184&amp;"|"&amp;B184)</x:f>
      </x:c>
      <x:c r="N184" s="18"/>
    </x:row>
    <x:row r="185">
      <x:c r="A185" s="18"/>
      <x:c r="B185" s="18"/>
      <x:c r="C185" s="18"/>
      <x:c r="D185" s="19"/>
      <x:c r="E185" s="20"/>
      <x:c r="F185" s="20"/>
      <x:c r="G185" s="20" t="str">
        <x:f>IF(A185="","",IF(C185="Manual","Manual",MAX(0,IF(E185="",1,E185)-IF(OR(D185="",D185&lt;SWITCH(C185,"Daily",TODAY(),"Weekly",IFERROR(VLOOKUP(A185,'VIP Signups'!$A$5:$B$204,2,FALSE)+INT((TODAY()-VLOOKUP(A185,'VIP Signups'!$A$5:$B$204,2,FALSE))/7)*7,TODAY()),"Monthly",IFERROR(EDATE(VLOOKUP(A185,'VIP Signups'!$A$5:$B$204,2,FALSE),DATEDIF(VLOOKUP(A185,'VIP Signups'!$A$5:$B$204,2,FALSE),TODAY(),"M")),TODAY()),"Quarterly",IFERROR(EDATE(VLOOKUP(A185,'VIP Signups'!$A$5:$B$204,2,FALSE),INT(DATEDIF(VLOOKUP(A185,'VIP Signups'!$A$5:$B$204,2,FALSE),TODAY(),"M")/3)*3),TODAY()),"Yearly",IFERROR(EDATE(VLOOKUP(A185,'VIP Signups'!$A$5:$B$204,2,FALSE),DATEDIF(VLOOKUP(A185,'VIP Signups'!$A$5:$B$204,2,FALSE),TODAY(),"Y")*12),TODAY()),"One-time",IFERROR(VLOOKUP(A185,'VIP Signups'!$A$5:$B$204,2,FALSE),D185),"Manual",TODAY(),TODAY())),0,IF(F185="",0,F185)))))</x:f>
      </x:c>
      <x:c r="H185" s="19" t="str">
        <x:f>IF(A185="","",SWITCH(C185,"Daily",TODAY()+1,"Weekly",IFERROR(VLOOKUP(A185,'VIP Signups'!$A$5:$B$204,2,FALSE)+CEILING((TODAY()-VLOOKUP(A185,'VIP Signups'!$A$5:$B$204,2,FALSE)+1)/7,1)*7,D185+7),"Monthly",IFERROR(EDATE(VLOOKUP(A185,'VIP Signups'!$A$5:$B$204,2,FALSE),DATEDIF(VLOOKUP(A185,'VIP Signups'!$A$5:$B$204,2,FALSE),TODAY(),"M")+1),EDATE(D185,1)),"Quarterly",IFERROR(EDATE(VLOOKUP(A185,'VIP Signups'!$A$5:$B$204,2,FALSE),(INT(DATEDIF(VLOOKUP(A185,'VIP Signups'!$A$5:$B$204,2,FALSE),TODAY(),"M")/3)+1)*3),EDATE(D185,3)),"Yearly",IFERROR(EDATE(VLOOKUP(A185,'VIP Signups'!$A$5:$B$204,2,FALSE),(DATEDIF(VLOOKUP(A185,'VIP Signups'!$A$5:$B$204,2,FALSE),TODAY(),"Y")+1)*12),EDATE(D185,12)),"One-time","Used","Manual","Manual",""))</x:f>
      </x:c>
      <x:c r="I185" s="18" t="str">
        <x:f>IF(A185="","",IF(G185="Manual","Manual",IF(G185&gt;0,"Yes","No")))</x:f>
      </x:c>
      <x:c r="J185" s="18" t="str">
        <x:f>IF(A185="","",B185&amp;": "&amp;IF(I185="Yes","Available ("&amp;G185&amp;"/"&amp;IF(E185="",1,E185)&amp;" left)",IF(I185="Manual","Manual check",IF(ISNUMBER(H185),"0/"&amp;IF(E185="",1,E185)&amp;" left; resets "&amp;TEXT(H185,"yyyy-mm-dd"),"Used"))))</x:f>
      </x:c>
      <x:c r="K185" s="18"/>
      <x:c r="L185" s="18" t="str">
        <x:v>Yes</x:v>
      </x:c>
      <x:c r="M185" s="18" t="str">
        <x:f>IF(A185="","",A185&amp;"|"&amp;B185)</x:f>
      </x:c>
      <x:c r="N185" s="18"/>
    </x:row>
    <x:row r="186">
      <x:c r="A186" s="18"/>
      <x:c r="B186" s="18"/>
      <x:c r="C186" s="18"/>
      <x:c r="D186" s="19"/>
      <x:c r="E186" s="20"/>
      <x:c r="F186" s="20"/>
      <x:c r="G186" s="20" t="str">
        <x:f>IF(A186="","",IF(C186="Manual","Manual",MAX(0,IF(E186="",1,E186)-IF(OR(D186="",D186&lt;SWITCH(C186,"Daily",TODAY(),"Weekly",IFERROR(VLOOKUP(A186,'VIP Signups'!$A$5:$B$204,2,FALSE)+INT((TODAY()-VLOOKUP(A186,'VIP Signups'!$A$5:$B$204,2,FALSE))/7)*7,TODAY()),"Monthly",IFERROR(EDATE(VLOOKUP(A186,'VIP Signups'!$A$5:$B$204,2,FALSE),DATEDIF(VLOOKUP(A186,'VIP Signups'!$A$5:$B$204,2,FALSE),TODAY(),"M")),TODAY()),"Quarterly",IFERROR(EDATE(VLOOKUP(A186,'VIP Signups'!$A$5:$B$204,2,FALSE),INT(DATEDIF(VLOOKUP(A186,'VIP Signups'!$A$5:$B$204,2,FALSE),TODAY(),"M")/3)*3),TODAY()),"Yearly",IFERROR(EDATE(VLOOKUP(A186,'VIP Signups'!$A$5:$B$204,2,FALSE),DATEDIF(VLOOKUP(A186,'VIP Signups'!$A$5:$B$204,2,FALSE),TODAY(),"Y")*12),TODAY()),"One-time",IFERROR(VLOOKUP(A186,'VIP Signups'!$A$5:$B$204,2,FALSE),D186),"Manual",TODAY(),TODAY())),0,IF(F186="",0,F186)))))</x:f>
      </x:c>
      <x:c r="H186" s="19" t="str">
        <x:f>IF(A186="","",SWITCH(C186,"Daily",TODAY()+1,"Weekly",IFERROR(VLOOKUP(A186,'VIP Signups'!$A$5:$B$204,2,FALSE)+CEILING((TODAY()-VLOOKUP(A186,'VIP Signups'!$A$5:$B$204,2,FALSE)+1)/7,1)*7,D186+7),"Monthly",IFERROR(EDATE(VLOOKUP(A186,'VIP Signups'!$A$5:$B$204,2,FALSE),DATEDIF(VLOOKUP(A186,'VIP Signups'!$A$5:$B$204,2,FALSE),TODAY(),"M")+1),EDATE(D186,1)),"Quarterly",IFERROR(EDATE(VLOOKUP(A186,'VIP Signups'!$A$5:$B$204,2,FALSE),(INT(DATEDIF(VLOOKUP(A186,'VIP Signups'!$A$5:$B$204,2,FALSE),TODAY(),"M")/3)+1)*3),EDATE(D186,3)),"Yearly",IFERROR(EDATE(VLOOKUP(A186,'VIP Signups'!$A$5:$B$204,2,FALSE),(DATEDIF(VLOOKUP(A186,'VIP Signups'!$A$5:$B$204,2,FALSE),TODAY(),"Y")+1)*12),EDATE(D186,12)),"One-time","Used","Manual","Manual",""))</x:f>
      </x:c>
      <x:c r="I186" s="18" t="str">
        <x:f>IF(A186="","",IF(G186="Manual","Manual",IF(G186&gt;0,"Yes","No")))</x:f>
      </x:c>
      <x:c r="J186" s="18" t="str">
        <x:f>IF(A186="","",B186&amp;": "&amp;IF(I186="Yes","Available ("&amp;G186&amp;"/"&amp;IF(E186="",1,E186)&amp;" left)",IF(I186="Manual","Manual check",IF(ISNUMBER(H186),"0/"&amp;IF(E186="",1,E186)&amp;" left; resets "&amp;TEXT(H186,"yyyy-mm-dd"),"Used"))))</x:f>
      </x:c>
      <x:c r="K186" s="18"/>
      <x:c r="L186" s="18" t="str">
        <x:v>Yes</x:v>
      </x:c>
      <x:c r="M186" s="18" t="str">
        <x:f>IF(A186="","",A186&amp;"|"&amp;B186)</x:f>
      </x:c>
      <x:c r="N186" s="18"/>
    </x:row>
    <x:row r="187">
      <x:c r="A187" s="18"/>
      <x:c r="B187" s="18"/>
      <x:c r="C187" s="18"/>
      <x:c r="D187" s="19"/>
      <x:c r="E187" s="20"/>
      <x:c r="F187" s="20"/>
      <x:c r="G187" s="20" t="str">
        <x:f>IF(A187="","",IF(C187="Manual","Manual",MAX(0,IF(E187="",1,E187)-IF(OR(D187="",D187&lt;SWITCH(C187,"Daily",TODAY(),"Weekly",IFERROR(VLOOKUP(A187,'VIP Signups'!$A$5:$B$204,2,FALSE)+INT((TODAY()-VLOOKUP(A187,'VIP Signups'!$A$5:$B$204,2,FALSE))/7)*7,TODAY()),"Monthly",IFERROR(EDATE(VLOOKUP(A187,'VIP Signups'!$A$5:$B$204,2,FALSE),DATEDIF(VLOOKUP(A187,'VIP Signups'!$A$5:$B$204,2,FALSE),TODAY(),"M")),TODAY()),"Quarterly",IFERROR(EDATE(VLOOKUP(A187,'VIP Signups'!$A$5:$B$204,2,FALSE),INT(DATEDIF(VLOOKUP(A187,'VIP Signups'!$A$5:$B$204,2,FALSE),TODAY(),"M")/3)*3),TODAY()),"Yearly",IFERROR(EDATE(VLOOKUP(A187,'VIP Signups'!$A$5:$B$204,2,FALSE),DATEDIF(VLOOKUP(A187,'VIP Signups'!$A$5:$B$204,2,FALSE),TODAY(),"Y")*12),TODAY()),"One-time",IFERROR(VLOOKUP(A187,'VIP Signups'!$A$5:$B$204,2,FALSE),D187),"Manual",TODAY(),TODAY())),0,IF(F187="",0,F187)))))</x:f>
      </x:c>
      <x:c r="H187" s="19" t="str">
        <x:f>IF(A187="","",SWITCH(C187,"Daily",TODAY()+1,"Weekly",IFERROR(VLOOKUP(A187,'VIP Signups'!$A$5:$B$204,2,FALSE)+CEILING((TODAY()-VLOOKUP(A187,'VIP Signups'!$A$5:$B$204,2,FALSE)+1)/7,1)*7,D187+7),"Monthly",IFERROR(EDATE(VLOOKUP(A187,'VIP Signups'!$A$5:$B$204,2,FALSE),DATEDIF(VLOOKUP(A187,'VIP Signups'!$A$5:$B$204,2,FALSE),TODAY(),"M")+1),EDATE(D187,1)),"Quarterly",IFERROR(EDATE(VLOOKUP(A187,'VIP Signups'!$A$5:$B$204,2,FALSE),(INT(DATEDIF(VLOOKUP(A187,'VIP Signups'!$A$5:$B$204,2,FALSE),TODAY(),"M")/3)+1)*3),EDATE(D187,3)),"Yearly",IFERROR(EDATE(VLOOKUP(A187,'VIP Signups'!$A$5:$B$204,2,FALSE),(DATEDIF(VLOOKUP(A187,'VIP Signups'!$A$5:$B$204,2,FALSE),TODAY(),"Y")+1)*12),EDATE(D187,12)),"One-time","Used","Manual","Manual",""))</x:f>
      </x:c>
      <x:c r="I187" s="18" t="str">
        <x:f>IF(A187="","",IF(G187="Manual","Manual",IF(G187&gt;0,"Yes","No")))</x:f>
      </x:c>
      <x:c r="J187" s="18" t="str">
        <x:f>IF(A187="","",B187&amp;": "&amp;IF(I187="Yes","Available ("&amp;G187&amp;"/"&amp;IF(E187="",1,E187)&amp;" left)",IF(I187="Manual","Manual check",IF(ISNUMBER(H187),"0/"&amp;IF(E187="",1,E187)&amp;" left; resets "&amp;TEXT(H187,"yyyy-mm-dd"),"Used"))))</x:f>
      </x:c>
      <x:c r="K187" s="18"/>
      <x:c r="L187" s="18" t="str">
        <x:v>Yes</x:v>
      </x:c>
      <x:c r="M187" s="18" t="str">
        <x:f>IF(A187="","",A187&amp;"|"&amp;B187)</x:f>
      </x:c>
      <x:c r="N187" s="18"/>
    </x:row>
    <x:row r="188">
      <x:c r="A188" s="18"/>
      <x:c r="B188" s="18"/>
      <x:c r="C188" s="18"/>
      <x:c r="D188" s="19"/>
      <x:c r="E188" s="20"/>
      <x:c r="F188" s="20"/>
      <x:c r="G188" s="20" t="str">
        <x:f>IF(A188="","",IF(C188="Manual","Manual",MAX(0,IF(E188="",1,E188)-IF(OR(D188="",D188&lt;SWITCH(C188,"Daily",TODAY(),"Weekly",IFERROR(VLOOKUP(A188,'VIP Signups'!$A$5:$B$204,2,FALSE)+INT((TODAY()-VLOOKUP(A188,'VIP Signups'!$A$5:$B$204,2,FALSE))/7)*7,TODAY()),"Monthly",IFERROR(EDATE(VLOOKUP(A188,'VIP Signups'!$A$5:$B$204,2,FALSE),DATEDIF(VLOOKUP(A188,'VIP Signups'!$A$5:$B$204,2,FALSE),TODAY(),"M")),TODAY()),"Quarterly",IFERROR(EDATE(VLOOKUP(A188,'VIP Signups'!$A$5:$B$204,2,FALSE),INT(DATEDIF(VLOOKUP(A188,'VIP Signups'!$A$5:$B$204,2,FALSE),TODAY(),"M")/3)*3),TODAY()),"Yearly",IFERROR(EDATE(VLOOKUP(A188,'VIP Signups'!$A$5:$B$204,2,FALSE),DATEDIF(VLOOKUP(A188,'VIP Signups'!$A$5:$B$204,2,FALSE),TODAY(),"Y")*12),TODAY()),"One-time",IFERROR(VLOOKUP(A188,'VIP Signups'!$A$5:$B$204,2,FALSE),D188),"Manual",TODAY(),TODAY())),0,IF(F188="",0,F188)))))</x:f>
      </x:c>
      <x:c r="H188" s="19" t="str">
        <x:f>IF(A188="","",SWITCH(C188,"Daily",TODAY()+1,"Weekly",IFERROR(VLOOKUP(A188,'VIP Signups'!$A$5:$B$204,2,FALSE)+CEILING((TODAY()-VLOOKUP(A188,'VIP Signups'!$A$5:$B$204,2,FALSE)+1)/7,1)*7,D188+7),"Monthly",IFERROR(EDATE(VLOOKUP(A188,'VIP Signups'!$A$5:$B$204,2,FALSE),DATEDIF(VLOOKUP(A188,'VIP Signups'!$A$5:$B$204,2,FALSE),TODAY(),"M")+1),EDATE(D188,1)),"Quarterly",IFERROR(EDATE(VLOOKUP(A188,'VIP Signups'!$A$5:$B$204,2,FALSE),(INT(DATEDIF(VLOOKUP(A188,'VIP Signups'!$A$5:$B$204,2,FALSE),TODAY(),"M")/3)+1)*3),EDATE(D188,3)),"Yearly",IFERROR(EDATE(VLOOKUP(A188,'VIP Signups'!$A$5:$B$204,2,FALSE),(DATEDIF(VLOOKUP(A188,'VIP Signups'!$A$5:$B$204,2,FALSE),TODAY(),"Y")+1)*12),EDATE(D188,12)),"One-time","Used","Manual","Manual",""))</x:f>
      </x:c>
      <x:c r="I188" s="18" t="str">
        <x:f>IF(A188="","",IF(G188="Manual","Manual",IF(G188&gt;0,"Yes","No")))</x:f>
      </x:c>
      <x:c r="J188" s="18" t="str">
        <x:f>IF(A188="","",B188&amp;": "&amp;IF(I188="Yes","Available ("&amp;G188&amp;"/"&amp;IF(E188="",1,E188)&amp;" left)",IF(I188="Manual","Manual check",IF(ISNUMBER(H188),"0/"&amp;IF(E188="",1,E188)&amp;" left; resets "&amp;TEXT(H188,"yyyy-mm-dd"),"Used"))))</x:f>
      </x:c>
      <x:c r="K188" s="18"/>
      <x:c r="L188" s="18" t="str">
        <x:v>Yes</x:v>
      </x:c>
      <x:c r="M188" s="18" t="str">
        <x:f>IF(A188="","",A188&amp;"|"&amp;B188)</x:f>
      </x:c>
      <x:c r="N188" s="18"/>
    </x:row>
    <x:row r="189">
      <x:c r="A189" s="18"/>
      <x:c r="B189" s="18"/>
      <x:c r="C189" s="18"/>
      <x:c r="D189" s="19"/>
      <x:c r="E189" s="20"/>
      <x:c r="F189" s="20"/>
      <x:c r="G189" s="20" t="str">
        <x:f>IF(A189="","",IF(C189="Manual","Manual",MAX(0,IF(E189="",1,E189)-IF(OR(D189="",D189&lt;SWITCH(C189,"Daily",TODAY(),"Weekly",IFERROR(VLOOKUP(A189,'VIP Signups'!$A$5:$B$204,2,FALSE)+INT((TODAY()-VLOOKUP(A189,'VIP Signups'!$A$5:$B$204,2,FALSE))/7)*7,TODAY()),"Monthly",IFERROR(EDATE(VLOOKUP(A189,'VIP Signups'!$A$5:$B$204,2,FALSE),DATEDIF(VLOOKUP(A189,'VIP Signups'!$A$5:$B$204,2,FALSE),TODAY(),"M")),TODAY()),"Quarterly",IFERROR(EDATE(VLOOKUP(A189,'VIP Signups'!$A$5:$B$204,2,FALSE),INT(DATEDIF(VLOOKUP(A189,'VIP Signups'!$A$5:$B$204,2,FALSE),TODAY(),"M")/3)*3),TODAY()),"Yearly",IFERROR(EDATE(VLOOKUP(A189,'VIP Signups'!$A$5:$B$204,2,FALSE),DATEDIF(VLOOKUP(A189,'VIP Signups'!$A$5:$B$204,2,FALSE),TODAY(),"Y")*12),TODAY()),"One-time",IFERROR(VLOOKUP(A189,'VIP Signups'!$A$5:$B$204,2,FALSE),D189),"Manual",TODAY(),TODAY())),0,IF(F189="",0,F189)))))</x:f>
      </x:c>
      <x:c r="H189" s="19" t="str">
        <x:f>IF(A189="","",SWITCH(C189,"Daily",TODAY()+1,"Weekly",IFERROR(VLOOKUP(A189,'VIP Signups'!$A$5:$B$204,2,FALSE)+CEILING((TODAY()-VLOOKUP(A189,'VIP Signups'!$A$5:$B$204,2,FALSE)+1)/7,1)*7,D189+7),"Monthly",IFERROR(EDATE(VLOOKUP(A189,'VIP Signups'!$A$5:$B$204,2,FALSE),DATEDIF(VLOOKUP(A189,'VIP Signups'!$A$5:$B$204,2,FALSE),TODAY(),"M")+1),EDATE(D189,1)),"Quarterly",IFERROR(EDATE(VLOOKUP(A189,'VIP Signups'!$A$5:$B$204,2,FALSE),(INT(DATEDIF(VLOOKUP(A189,'VIP Signups'!$A$5:$B$204,2,FALSE),TODAY(),"M")/3)+1)*3),EDATE(D189,3)),"Yearly",IFERROR(EDATE(VLOOKUP(A189,'VIP Signups'!$A$5:$B$204,2,FALSE),(DATEDIF(VLOOKUP(A189,'VIP Signups'!$A$5:$B$204,2,FALSE),TODAY(),"Y")+1)*12),EDATE(D189,12)),"One-time","Used","Manual","Manual",""))</x:f>
      </x:c>
      <x:c r="I189" s="18" t="str">
        <x:f>IF(A189="","",IF(G189="Manual","Manual",IF(G189&gt;0,"Yes","No")))</x:f>
      </x:c>
      <x:c r="J189" s="18" t="str">
        <x:f>IF(A189="","",B189&amp;": "&amp;IF(I189="Yes","Available ("&amp;G189&amp;"/"&amp;IF(E189="",1,E189)&amp;" left)",IF(I189="Manual","Manual check",IF(ISNUMBER(H189),"0/"&amp;IF(E189="",1,E189)&amp;" left; resets "&amp;TEXT(H189,"yyyy-mm-dd"),"Used"))))</x:f>
      </x:c>
      <x:c r="K189" s="18"/>
      <x:c r="L189" s="18" t="str">
        <x:v>Yes</x:v>
      </x:c>
      <x:c r="M189" s="18" t="str">
        <x:f>IF(A189="","",A189&amp;"|"&amp;B189)</x:f>
      </x:c>
      <x:c r="N189" s="18"/>
    </x:row>
    <x:row r="190">
      <x:c r="A190" s="18"/>
      <x:c r="B190" s="18"/>
      <x:c r="C190" s="18"/>
      <x:c r="D190" s="19"/>
      <x:c r="E190" s="20"/>
      <x:c r="F190" s="20"/>
      <x:c r="G190" s="20" t="str">
        <x:f>IF(A190="","",IF(C190="Manual","Manual",MAX(0,IF(E190="",1,E190)-IF(OR(D190="",D190&lt;SWITCH(C190,"Daily",TODAY(),"Weekly",IFERROR(VLOOKUP(A190,'VIP Signups'!$A$5:$B$204,2,FALSE)+INT((TODAY()-VLOOKUP(A190,'VIP Signups'!$A$5:$B$204,2,FALSE))/7)*7,TODAY()),"Monthly",IFERROR(EDATE(VLOOKUP(A190,'VIP Signups'!$A$5:$B$204,2,FALSE),DATEDIF(VLOOKUP(A190,'VIP Signups'!$A$5:$B$204,2,FALSE),TODAY(),"M")),TODAY()),"Quarterly",IFERROR(EDATE(VLOOKUP(A190,'VIP Signups'!$A$5:$B$204,2,FALSE),INT(DATEDIF(VLOOKUP(A190,'VIP Signups'!$A$5:$B$204,2,FALSE),TODAY(),"M")/3)*3),TODAY()),"Yearly",IFERROR(EDATE(VLOOKUP(A190,'VIP Signups'!$A$5:$B$204,2,FALSE),DATEDIF(VLOOKUP(A190,'VIP Signups'!$A$5:$B$204,2,FALSE),TODAY(),"Y")*12),TODAY()),"One-time",IFERROR(VLOOKUP(A190,'VIP Signups'!$A$5:$B$204,2,FALSE),D190),"Manual",TODAY(),TODAY())),0,IF(F190="",0,F190)))))</x:f>
      </x:c>
      <x:c r="H190" s="19" t="str">
        <x:f>IF(A190="","",SWITCH(C190,"Daily",TODAY()+1,"Weekly",IFERROR(VLOOKUP(A190,'VIP Signups'!$A$5:$B$204,2,FALSE)+CEILING((TODAY()-VLOOKUP(A190,'VIP Signups'!$A$5:$B$204,2,FALSE)+1)/7,1)*7,D190+7),"Monthly",IFERROR(EDATE(VLOOKUP(A190,'VIP Signups'!$A$5:$B$204,2,FALSE),DATEDIF(VLOOKUP(A190,'VIP Signups'!$A$5:$B$204,2,FALSE),TODAY(),"M")+1),EDATE(D190,1)),"Quarterly",IFERROR(EDATE(VLOOKUP(A190,'VIP Signups'!$A$5:$B$204,2,FALSE),(INT(DATEDIF(VLOOKUP(A190,'VIP Signups'!$A$5:$B$204,2,FALSE),TODAY(),"M")/3)+1)*3),EDATE(D190,3)),"Yearly",IFERROR(EDATE(VLOOKUP(A190,'VIP Signups'!$A$5:$B$204,2,FALSE),(DATEDIF(VLOOKUP(A190,'VIP Signups'!$A$5:$B$204,2,FALSE),TODAY(),"Y")+1)*12),EDATE(D190,12)),"One-time","Used","Manual","Manual",""))</x:f>
      </x:c>
      <x:c r="I190" s="18" t="str">
        <x:f>IF(A190="","",IF(G190="Manual","Manual",IF(G190&gt;0,"Yes","No")))</x:f>
      </x:c>
      <x:c r="J190" s="18" t="str">
        <x:f>IF(A190="","",B190&amp;": "&amp;IF(I190="Yes","Available ("&amp;G190&amp;"/"&amp;IF(E190="",1,E190)&amp;" left)",IF(I190="Manual","Manual check",IF(ISNUMBER(H190),"0/"&amp;IF(E190="",1,E190)&amp;" left; resets "&amp;TEXT(H190,"yyyy-mm-dd"),"Used"))))</x:f>
      </x:c>
      <x:c r="K190" s="18"/>
      <x:c r="L190" s="18" t="str">
        <x:v>Yes</x:v>
      </x:c>
      <x:c r="M190" s="18" t="str">
        <x:f>IF(A190="","",A190&amp;"|"&amp;B190)</x:f>
      </x:c>
      <x:c r="N190" s="18"/>
    </x:row>
    <x:row r="191">
      <x:c r="A191" s="18"/>
      <x:c r="B191" s="18"/>
      <x:c r="C191" s="18"/>
      <x:c r="D191" s="19"/>
      <x:c r="E191" s="20"/>
      <x:c r="F191" s="20"/>
      <x:c r="G191" s="20" t="str">
        <x:f>IF(A191="","",IF(C191="Manual","Manual",MAX(0,IF(E191="",1,E191)-IF(OR(D191="",D191&lt;SWITCH(C191,"Daily",TODAY(),"Weekly",IFERROR(VLOOKUP(A191,'VIP Signups'!$A$5:$B$204,2,FALSE)+INT((TODAY()-VLOOKUP(A191,'VIP Signups'!$A$5:$B$204,2,FALSE))/7)*7,TODAY()),"Monthly",IFERROR(EDATE(VLOOKUP(A191,'VIP Signups'!$A$5:$B$204,2,FALSE),DATEDIF(VLOOKUP(A191,'VIP Signups'!$A$5:$B$204,2,FALSE),TODAY(),"M")),TODAY()),"Quarterly",IFERROR(EDATE(VLOOKUP(A191,'VIP Signups'!$A$5:$B$204,2,FALSE),INT(DATEDIF(VLOOKUP(A191,'VIP Signups'!$A$5:$B$204,2,FALSE),TODAY(),"M")/3)*3),TODAY()),"Yearly",IFERROR(EDATE(VLOOKUP(A191,'VIP Signups'!$A$5:$B$204,2,FALSE),DATEDIF(VLOOKUP(A191,'VIP Signups'!$A$5:$B$204,2,FALSE),TODAY(),"Y")*12),TODAY()),"One-time",IFERROR(VLOOKUP(A191,'VIP Signups'!$A$5:$B$204,2,FALSE),D191),"Manual",TODAY(),TODAY())),0,IF(F191="",0,F191)))))</x:f>
      </x:c>
      <x:c r="H191" s="19" t="str">
        <x:f>IF(A191="","",SWITCH(C191,"Daily",TODAY()+1,"Weekly",IFERROR(VLOOKUP(A191,'VIP Signups'!$A$5:$B$204,2,FALSE)+CEILING((TODAY()-VLOOKUP(A191,'VIP Signups'!$A$5:$B$204,2,FALSE)+1)/7,1)*7,D191+7),"Monthly",IFERROR(EDATE(VLOOKUP(A191,'VIP Signups'!$A$5:$B$204,2,FALSE),DATEDIF(VLOOKUP(A191,'VIP Signups'!$A$5:$B$204,2,FALSE),TODAY(),"M")+1),EDATE(D191,1)),"Quarterly",IFERROR(EDATE(VLOOKUP(A191,'VIP Signups'!$A$5:$B$204,2,FALSE),(INT(DATEDIF(VLOOKUP(A191,'VIP Signups'!$A$5:$B$204,2,FALSE),TODAY(),"M")/3)+1)*3),EDATE(D191,3)),"Yearly",IFERROR(EDATE(VLOOKUP(A191,'VIP Signups'!$A$5:$B$204,2,FALSE),(DATEDIF(VLOOKUP(A191,'VIP Signups'!$A$5:$B$204,2,FALSE),TODAY(),"Y")+1)*12),EDATE(D191,12)),"One-time","Used","Manual","Manual",""))</x:f>
      </x:c>
      <x:c r="I191" s="18" t="str">
        <x:f>IF(A191="","",IF(G191="Manual","Manual",IF(G191&gt;0,"Yes","No")))</x:f>
      </x:c>
      <x:c r="J191" s="18" t="str">
        <x:f>IF(A191="","",B191&amp;": "&amp;IF(I191="Yes","Available ("&amp;G191&amp;"/"&amp;IF(E191="",1,E191)&amp;" left)",IF(I191="Manual","Manual check",IF(ISNUMBER(H191),"0/"&amp;IF(E191="",1,E191)&amp;" left; resets "&amp;TEXT(H191,"yyyy-mm-dd"),"Used"))))</x:f>
      </x:c>
      <x:c r="K191" s="18"/>
      <x:c r="L191" s="18" t="str">
        <x:v>Yes</x:v>
      </x:c>
      <x:c r="M191" s="18" t="str">
        <x:f>IF(A191="","",A191&amp;"|"&amp;B191)</x:f>
      </x:c>
      <x:c r="N191" s="18"/>
    </x:row>
    <x:row r="192">
      <x:c r="A192" s="18"/>
      <x:c r="B192" s="18"/>
      <x:c r="C192" s="18"/>
      <x:c r="D192" s="19"/>
      <x:c r="E192" s="20"/>
      <x:c r="F192" s="20"/>
      <x:c r="G192" s="20" t="str">
        <x:f>IF(A192="","",IF(C192="Manual","Manual",MAX(0,IF(E192="",1,E192)-IF(OR(D192="",D192&lt;SWITCH(C192,"Daily",TODAY(),"Weekly",IFERROR(VLOOKUP(A192,'VIP Signups'!$A$5:$B$204,2,FALSE)+INT((TODAY()-VLOOKUP(A192,'VIP Signups'!$A$5:$B$204,2,FALSE))/7)*7,TODAY()),"Monthly",IFERROR(EDATE(VLOOKUP(A192,'VIP Signups'!$A$5:$B$204,2,FALSE),DATEDIF(VLOOKUP(A192,'VIP Signups'!$A$5:$B$204,2,FALSE),TODAY(),"M")),TODAY()),"Quarterly",IFERROR(EDATE(VLOOKUP(A192,'VIP Signups'!$A$5:$B$204,2,FALSE),INT(DATEDIF(VLOOKUP(A192,'VIP Signups'!$A$5:$B$204,2,FALSE),TODAY(),"M")/3)*3),TODAY()),"Yearly",IFERROR(EDATE(VLOOKUP(A192,'VIP Signups'!$A$5:$B$204,2,FALSE),DATEDIF(VLOOKUP(A192,'VIP Signups'!$A$5:$B$204,2,FALSE),TODAY(),"Y")*12),TODAY()),"One-time",IFERROR(VLOOKUP(A192,'VIP Signups'!$A$5:$B$204,2,FALSE),D192),"Manual",TODAY(),TODAY())),0,IF(F192="",0,F192)))))</x:f>
      </x:c>
      <x:c r="H192" s="19" t="str">
        <x:f>IF(A192="","",SWITCH(C192,"Daily",TODAY()+1,"Weekly",IFERROR(VLOOKUP(A192,'VIP Signups'!$A$5:$B$204,2,FALSE)+CEILING((TODAY()-VLOOKUP(A192,'VIP Signups'!$A$5:$B$204,2,FALSE)+1)/7,1)*7,D192+7),"Monthly",IFERROR(EDATE(VLOOKUP(A192,'VIP Signups'!$A$5:$B$204,2,FALSE),DATEDIF(VLOOKUP(A192,'VIP Signups'!$A$5:$B$204,2,FALSE),TODAY(),"M")+1),EDATE(D192,1)),"Quarterly",IFERROR(EDATE(VLOOKUP(A192,'VIP Signups'!$A$5:$B$204,2,FALSE),(INT(DATEDIF(VLOOKUP(A192,'VIP Signups'!$A$5:$B$204,2,FALSE),TODAY(),"M")/3)+1)*3),EDATE(D192,3)),"Yearly",IFERROR(EDATE(VLOOKUP(A192,'VIP Signups'!$A$5:$B$204,2,FALSE),(DATEDIF(VLOOKUP(A192,'VIP Signups'!$A$5:$B$204,2,FALSE),TODAY(),"Y")+1)*12),EDATE(D192,12)),"One-time","Used","Manual","Manual",""))</x:f>
      </x:c>
      <x:c r="I192" s="18" t="str">
        <x:f>IF(A192="","",IF(G192="Manual","Manual",IF(G192&gt;0,"Yes","No")))</x:f>
      </x:c>
      <x:c r="J192" s="18" t="str">
        <x:f>IF(A192="","",B192&amp;": "&amp;IF(I192="Yes","Available ("&amp;G192&amp;"/"&amp;IF(E192="",1,E192)&amp;" left)",IF(I192="Manual","Manual check",IF(ISNUMBER(H192),"0/"&amp;IF(E192="",1,E192)&amp;" left; resets "&amp;TEXT(H192,"yyyy-mm-dd"),"Used"))))</x:f>
      </x:c>
      <x:c r="K192" s="18"/>
      <x:c r="L192" s="18" t="str">
        <x:v>Yes</x:v>
      </x:c>
      <x:c r="M192" s="18" t="str">
        <x:f>IF(A192="","",A192&amp;"|"&amp;B192)</x:f>
      </x:c>
      <x:c r="N192" s="18"/>
    </x:row>
    <x:row r="193">
      <x:c r="A193" s="18"/>
      <x:c r="B193" s="18"/>
      <x:c r="C193" s="18"/>
      <x:c r="D193" s="19"/>
      <x:c r="E193" s="20"/>
      <x:c r="F193" s="20"/>
      <x:c r="G193" s="20" t="str">
        <x:f>IF(A193="","",IF(C193="Manual","Manual",MAX(0,IF(E193="",1,E193)-IF(OR(D193="",D193&lt;SWITCH(C193,"Daily",TODAY(),"Weekly",IFERROR(VLOOKUP(A193,'VIP Signups'!$A$5:$B$204,2,FALSE)+INT((TODAY()-VLOOKUP(A193,'VIP Signups'!$A$5:$B$204,2,FALSE))/7)*7,TODAY()),"Monthly",IFERROR(EDATE(VLOOKUP(A193,'VIP Signups'!$A$5:$B$204,2,FALSE),DATEDIF(VLOOKUP(A193,'VIP Signups'!$A$5:$B$204,2,FALSE),TODAY(),"M")),TODAY()),"Quarterly",IFERROR(EDATE(VLOOKUP(A193,'VIP Signups'!$A$5:$B$204,2,FALSE),INT(DATEDIF(VLOOKUP(A193,'VIP Signups'!$A$5:$B$204,2,FALSE),TODAY(),"M")/3)*3),TODAY()),"Yearly",IFERROR(EDATE(VLOOKUP(A193,'VIP Signups'!$A$5:$B$204,2,FALSE),DATEDIF(VLOOKUP(A193,'VIP Signups'!$A$5:$B$204,2,FALSE),TODAY(),"Y")*12),TODAY()),"One-time",IFERROR(VLOOKUP(A193,'VIP Signups'!$A$5:$B$204,2,FALSE),D193),"Manual",TODAY(),TODAY())),0,IF(F193="",0,F193)))))</x:f>
      </x:c>
      <x:c r="H193" s="19" t="str">
        <x:f>IF(A193="","",SWITCH(C193,"Daily",TODAY()+1,"Weekly",IFERROR(VLOOKUP(A193,'VIP Signups'!$A$5:$B$204,2,FALSE)+CEILING((TODAY()-VLOOKUP(A193,'VIP Signups'!$A$5:$B$204,2,FALSE)+1)/7,1)*7,D193+7),"Monthly",IFERROR(EDATE(VLOOKUP(A193,'VIP Signups'!$A$5:$B$204,2,FALSE),DATEDIF(VLOOKUP(A193,'VIP Signups'!$A$5:$B$204,2,FALSE),TODAY(),"M")+1),EDATE(D193,1)),"Quarterly",IFERROR(EDATE(VLOOKUP(A193,'VIP Signups'!$A$5:$B$204,2,FALSE),(INT(DATEDIF(VLOOKUP(A193,'VIP Signups'!$A$5:$B$204,2,FALSE),TODAY(),"M")/3)+1)*3),EDATE(D193,3)),"Yearly",IFERROR(EDATE(VLOOKUP(A193,'VIP Signups'!$A$5:$B$204,2,FALSE),(DATEDIF(VLOOKUP(A193,'VIP Signups'!$A$5:$B$204,2,FALSE),TODAY(),"Y")+1)*12),EDATE(D193,12)),"One-time","Used","Manual","Manual",""))</x:f>
      </x:c>
      <x:c r="I193" s="18" t="str">
        <x:f>IF(A193="","",IF(G193="Manual","Manual",IF(G193&gt;0,"Yes","No")))</x:f>
      </x:c>
      <x:c r="J193" s="18" t="str">
        <x:f>IF(A193="","",B193&amp;": "&amp;IF(I193="Yes","Available ("&amp;G193&amp;"/"&amp;IF(E193="",1,E193)&amp;" left)",IF(I193="Manual","Manual check",IF(ISNUMBER(H193),"0/"&amp;IF(E193="",1,E193)&amp;" left; resets "&amp;TEXT(H193,"yyyy-mm-dd"),"Used"))))</x:f>
      </x:c>
      <x:c r="K193" s="18"/>
      <x:c r="L193" s="18" t="str">
        <x:v>Yes</x:v>
      </x:c>
      <x:c r="M193" s="18" t="str">
        <x:f>IF(A193="","",A193&amp;"|"&amp;B193)</x:f>
      </x:c>
      <x:c r="N193" s="18"/>
    </x:row>
    <x:row r="194">
      <x:c r="A194" s="18"/>
      <x:c r="B194" s="18"/>
      <x:c r="C194" s="18"/>
      <x:c r="D194" s="19"/>
      <x:c r="E194" s="20"/>
      <x:c r="F194" s="20"/>
      <x:c r="G194" s="20" t="str">
        <x:f>IF(A194="","",IF(C194="Manual","Manual",MAX(0,IF(E194="",1,E194)-IF(OR(D194="",D194&lt;SWITCH(C194,"Daily",TODAY(),"Weekly",IFERROR(VLOOKUP(A194,'VIP Signups'!$A$5:$B$204,2,FALSE)+INT((TODAY()-VLOOKUP(A194,'VIP Signups'!$A$5:$B$204,2,FALSE))/7)*7,TODAY()),"Monthly",IFERROR(EDATE(VLOOKUP(A194,'VIP Signups'!$A$5:$B$204,2,FALSE),DATEDIF(VLOOKUP(A194,'VIP Signups'!$A$5:$B$204,2,FALSE),TODAY(),"M")),TODAY()),"Quarterly",IFERROR(EDATE(VLOOKUP(A194,'VIP Signups'!$A$5:$B$204,2,FALSE),INT(DATEDIF(VLOOKUP(A194,'VIP Signups'!$A$5:$B$204,2,FALSE),TODAY(),"M")/3)*3),TODAY()),"Yearly",IFERROR(EDATE(VLOOKUP(A194,'VIP Signups'!$A$5:$B$204,2,FALSE),DATEDIF(VLOOKUP(A194,'VIP Signups'!$A$5:$B$204,2,FALSE),TODAY(),"Y")*12),TODAY()),"One-time",IFERROR(VLOOKUP(A194,'VIP Signups'!$A$5:$B$204,2,FALSE),D194),"Manual",TODAY(),TODAY())),0,IF(F194="",0,F194)))))</x:f>
      </x:c>
      <x:c r="H194" s="19" t="str">
        <x:f>IF(A194="","",SWITCH(C194,"Daily",TODAY()+1,"Weekly",IFERROR(VLOOKUP(A194,'VIP Signups'!$A$5:$B$204,2,FALSE)+CEILING((TODAY()-VLOOKUP(A194,'VIP Signups'!$A$5:$B$204,2,FALSE)+1)/7,1)*7,D194+7),"Monthly",IFERROR(EDATE(VLOOKUP(A194,'VIP Signups'!$A$5:$B$204,2,FALSE),DATEDIF(VLOOKUP(A194,'VIP Signups'!$A$5:$B$204,2,FALSE),TODAY(),"M")+1),EDATE(D194,1)),"Quarterly",IFERROR(EDATE(VLOOKUP(A194,'VIP Signups'!$A$5:$B$204,2,FALSE),(INT(DATEDIF(VLOOKUP(A194,'VIP Signups'!$A$5:$B$204,2,FALSE),TODAY(),"M")/3)+1)*3),EDATE(D194,3)),"Yearly",IFERROR(EDATE(VLOOKUP(A194,'VIP Signups'!$A$5:$B$204,2,FALSE),(DATEDIF(VLOOKUP(A194,'VIP Signups'!$A$5:$B$204,2,FALSE),TODAY(),"Y")+1)*12),EDATE(D194,12)),"One-time","Used","Manual","Manual",""))</x:f>
      </x:c>
      <x:c r="I194" s="18" t="str">
        <x:f>IF(A194="","",IF(G194="Manual","Manual",IF(G194&gt;0,"Yes","No")))</x:f>
      </x:c>
      <x:c r="J194" s="18" t="str">
        <x:f>IF(A194="","",B194&amp;": "&amp;IF(I194="Yes","Available ("&amp;G194&amp;"/"&amp;IF(E194="",1,E194)&amp;" left)",IF(I194="Manual","Manual check",IF(ISNUMBER(H194),"0/"&amp;IF(E194="",1,E194)&amp;" left; resets "&amp;TEXT(H194,"yyyy-mm-dd"),"Used"))))</x:f>
      </x:c>
      <x:c r="K194" s="18"/>
      <x:c r="L194" s="18" t="str">
        <x:v>Yes</x:v>
      </x:c>
      <x:c r="M194" s="18" t="str">
        <x:f>IF(A194="","",A194&amp;"|"&amp;B194)</x:f>
      </x:c>
      <x:c r="N194" s="18"/>
    </x:row>
    <x:row r="195">
      <x:c r="A195" s="18"/>
      <x:c r="B195" s="18"/>
      <x:c r="C195" s="18"/>
      <x:c r="D195" s="19"/>
      <x:c r="E195" s="20"/>
      <x:c r="F195" s="20"/>
      <x:c r="G195" s="20" t="str">
        <x:f>IF(A195="","",IF(C195="Manual","Manual",MAX(0,IF(E195="",1,E195)-IF(OR(D195="",D195&lt;SWITCH(C195,"Daily",TODAY(),"Weekly",IFERROR(VLOOKUP(A195,'VIP Signups'!$A$5:$B$204,2,FALSE)+INT((TODAY()-VLOOKUP(A195,'VIP Signups'!$A$5:$B$204,2,FALSE))/7)*7,TODAY()),"Monthly",IFERROR(EDATE(VLOOKUP(A195,'VIP Signups'!$A$5:$B$204,2,FALSE),DATEDIF(VLOOKUP(A195,'VIP Signups'!$A$5:$B$204,2,FALSE),TODAY(),"M")),TODAY()),"Quarterly",IFERROR(EDATE(VLOOKUP(A195,'VIP Signups'!$A$5:$B$204,2,FALSE),INT(DATEDIF(VLOOKUP(A195,'VIP Signups'!$A$5:$B$204,2,FALSE),TODAY(),"M")/3)*3),TODAY()),"Yearly",IFERROR(EDATE(VLOOKUP(A195,'VIP Signups'!$A$5:$B$204,2,FALSE),DATEDIF(VLOOKUP(A195,'VIP Signups'!$A$5:$B$204,2,FALSE),TODAY(),"Y")*12),TODAY()),"One-time",IFERROR(VLOOKUP(A195,'VIP Signups'!$A$5:$B$204,2,FALSE),D195),"Manual",TODAY(),TODAY())),0,IF(F195="",0,F195)))))</x:f>
      </x:c>
      <x:c r="H195" s="19" t="str">
        <x:f>IF(A195="","",SWITCH(C195,"Daily",TODAY()+1,"Weekly",IFERROR(VLOOKUP(A195,'VIP Signups'!$A$5:$B$204,2,FALSE)+CEILING((TODAY()-VLOOKUP(A195,'VIP Signups'!$A$5:$B$204,2,FALSE)+1)/7,1)*7,D195+7),"Monthly",IFERROR(EDATE(VLOOKUP(A195,'VIP Signups'!$A$5:$B$204,2,FALSE),DATEDIF(VLOOKUP(A195,'VIP Signups'!$A$5:$B$204,2,FALSE),TODAY(),"M")+1),EDATE(D195,1)),"Quarterly",IFERROR(EDATE(VLOOKUP(A195,'VIP Signups'!$A$5:$B$204,2,FALSE),(INT(DATEDIF(VLOOKUP(A195,'VIP Signups'!$A$5:$B$204,2,FALSE),TODAY(),"M")/3)+1)*3),EDATE(D195,3)),"Yearly",IFERROR(EDATE(VLOOKUP(A195,'VIP Signups'!$A$5:$B$204,2,FALSE),(DATEDIF(VLOOKUP(A195,'VIP Signups'!$A$5:$B$204,2,FALSE),TODAY(),"Y")+1)*12),EDATE(D195,12)),"One-time","Used","Manual","Manual",""))</x:f>
      </x:c>
      <x:c r="I195" s="18" t="str">
        <x:f>IF(A195="","",IF(G195="Manual","Manual",IF(G195&gt;0,"Yes","No")))</x:f>
      </x:c>
      <x:c r="J195" s="18" t="str">
        <x:f>IF(A195="","",B195&amp;": "&amp;IF(I195="Yes","Available ("&amp;G195&amp;"/"&amp;IF(E195="",1,E195)&amp;" left)",IF(I195="Manual","Manual check",IF(ISNUMBER(H195),"0/"&amp;IF(E195="",1,E195)&amp;" left; resets "&amp;TEXT(H195,"yyyy-mm-dd"),"Used"))))</x:f>
      </x:c>
      <x:c r="K195" s="18"/>
      <x:c r="L195" s="18" t="str">
        <x:v>Yes</x:v>
      </x:c>
      <x:c r="M195" s="18" t="str">
        <x:f>IF(A195="","",A195&amp;"|"&amp;B195)</x:f>
      </x:c>
      <x:c r="N195" s="18"/>
    </x:row>
    <x:row r="196">
      <x:c r="A196" s="18"/>
      <x:c r="B196" s="18"/>
      <x:c r="C196" s="18"/>
      <x:c r="D196" s="19"/>
      <x:c r="E196" s="20"/>
      <x:c r="F196" s="20"/>
      <x:c r="G196" s="20" t="str">
        <x:f>IF(A196="","",IF(C196="Manual","Manual",MAX(0,IF(E196="",1,E196)-IF(OR(D196="",D196&lt;SWITCH(C196,"Daily",TODAY(),"Weekly",IFERROR(VLOOKUP(A196,'VIP Signups'!$A$5:$B$204,2,FALSE)+INT((TODAY()-VLOOKUP(A196,'VIP Signups'!$A$5:$B$204,2,FALSE))/7)*7,TODAY()),"Monthly",IFERROR(EDATE(VLOOKUP(A196,'VIP Signups'!$A$5:$B$204,2,FALSE),DATEDIF(VLOOKUP(A196,'VIP Signups'!$A$5:$B$204,2,FALSE),TODAY(),"M")),TODAY()),"Quarterly",IFERROR(EDATE(VLOOKUP(A196,'VIP Signups'!$A$5:$B$204,2,FALSE),INT(DATEDIF(VLOOKUP(A196,'VIP Signups'!$A$5:$B$204,2,FALSE),TODAY(),"M")/3)*3),TODAY()),"Yearly",IFERROR(EDATE(VLOOKUP(A196,'VIP Signups'!$A$5:$B$204,2,FALSE),DATEDIF(VLOOKUP(A196,'VIP Signups'!$A$5:$B$204,2,FALSE),TODAY(),"Y")*12),TODAY()),"One-time",IFERROR(VLOOKUP(A196,'VIP Signups'!$A$5:$B$204,2,FALSE),D196),"Manual",TODAY(),TODAY())),0,IF(F196="",0,F196)))))</x:f>
      </x:c>
      <x:c r="H196" s="19" t="str">
        <x:f>IF(A196="","",SWITCH(C196,"Daily",TODAY()+1,"Weekly",IFERROR(VLOOKUP(A196,'VIP Signups'!$A$5:$B$204,2,FALSE)+CEILING((TODAY()-VLOOKUP(A196,'VIP Signups'!$A$5:$B$204,2,FALSE)+1)/7,1)*7,D196+7),"Monthly",IFERROR(EDATE(VLOOKUP(A196,'VIP Signups'!$A$5:$B$204,2,FALSE),DATEDIF(VLOOKUP(A196,'VIP Signups'!$A$5:$B$204,2,FALSE),TODAY(),"M")+1),EDATE(D196,1)),"Quarterly",IFERROR(EDATE(VLOOKUP(A196,'VIP Signups'!$A$5:$B$204,2,FALSE),(INT(DATEDIF(VLOOKUP(A196,'VIP Signups'!$A$5:$B$204,2,FALSE),TODAY(),"M")/3)+1)*3),EDATE(D196,3)),"Yearly",IFERROR(EDATE(VLOOKUP(A196,'VIP Signups'!$A$5:$B$204,2,FALSE),(DATEDIF(VLOOKUP(A196,'VIP Signups'!$A$5:$B$204,2,FALSE),TODAY(),"Y")+1)*12),EDATE(D196,12)),"One-time","Used","Manual","Manual",""))</x:f>
      </x:c>
      <x:c r="I196" s="18" t="str">
        <x:f>IF(A196="","",IF(G196="Manual","Manual",IF(G196&gt;0,"Yes","No")))</x:f>
      </x:c>
      <x:c r="J196" s="18" t="str">
        <x:f>IF(A196="","",B196&amp;": "&amp;IF(I196="Yes","Available ("&amp;G196&amp;"/"&amp;IF(E196="",1,E196)&amp;" left)",IF(I196="Manual","Manual check",IF(ISNUMBER(H196),"0/"&amp;IF(E196="",1,E196)&amp;" left; resets "&amp;TEXT(H196,"yyyy-mm-dd"),"Used"))))</x:f>
      </x:c>
      <x:c r="K196" s="18"/>
      <x:c r="L196" s="18" t="str">
        <x:v>Yes</x:v>
      </x:c>
      <x:c r="M196" s="18" t="str">
        <x:f>IF(A196="","",A196&amp;"|"&amp;B196)</x:f>
      </x:c>
      <x:c r="N196" s="18"/>
    </x:row>
    <x:row r="197">
      <x:c r="A197" s="18"/>
      <x:c r="B197" s="18"/>
      <x:c r="C197" s="18"/>
      <x:c r="D197" s="19"/>
      <x:c r="E197" s="20"/>
      <x:c r="F197" s="20"/>
      <x:c r="G197" s="20" t="str">
        <x:f>IF(A197="","",IF(C197="Manual","Manual",MAX(0,IF(E197="",1,E197)-IF(OR(D197="",D197&lt;SWITCH(C197,"Daily",TODAY(),"Weekly",IFERROR(VLOOKUP(A197,'VIP Signups'!$A$5:$B$204,2,FALSE)+INT((TODAY()-VLOOKUP(A197,'VIP Signups'!$A$5:$B$204,2,FALSE))/7)*7,TODAY()),"Monthly",IFERROR(EDATE(VLOOKUP(A197,'VIP Signups'!$A$5:$B$204,2,FALSE),DATEDIF(VLOOKUP(A197,'VIP Signups'!$A$5:$B$204,2,FALSE),TODAY(),"M")),TODAY()),"Quarterly",IFERROR(EDATE(VLOOKUP(A197,'VIP Signups'!$A$5:$B$204,2,FALSE),INT(DATEDIF(VLOOKUP(A197,'VIP Signups'!$A$5:$B$204,2,FALSE),TODAY(),"M")/3)*3),TODAY()),"Yearly",IFERROR(EDATE(VLOOKUP(A197,'VIP Signups'!$A$5:$B$204,2,FALSE),DATEDIF(VLOOKUP(A197,'VIP Signups'!$A$5:$B$204,2,FALSE),TODAY(),"Y")*12),TODAY()),"One-time",IFERROR(VLOOKUP(A197,'VIP Signups'!$A$5:$B$204,2,FALSE),D197),"Manual",TODAY(),TODAY())),0,IF(F197="",0,F197)))))</x:f>
      </x:c>
      <x:c r="H197" s="19" t="str">
        <x:f>IF(A197="","",SWITCH(C197,"Daily",TODAY()+1,"Weekly",IFERROR(VLOOKUP(A197,'VIP Signups'!$A$5:$B$204,2,FALSE)+CEILING((TODAY()-VLOOKUP(A197,'VIP Signups'!$A$5:$B$204,2,FALSE)+1)/7,1)*7,D197+7),"Monthly",IFERROR(EDATE(VLOOKUP(A197,'VIP Signups'!$A$5:$B$204,2,FALSE),DATEDIF(VLOOKUP(A197,'VIP Signups'!$A$5:$B$204,2,FALSE),TODAY(),"M")+1),EDATE(D197,1)),"Quarterly",IFERROR(EDATE(VLOOKUP(A197,'VIP Signups'!$A$5:$B$204,2,FALSE),(INT(DATEDIF(VLOOKUP(A197,'VIP Signups'!$A$5:$B$204,2,FALSE),TODAY(),"M")/3)+1)*3),EDATE(D197,3)),"Yearly",IFERROR(EDATE(VLOOKUP(A197,'VIP Signups'!$A$5:$B$204,2,FALSE),(DATEDIF(VLOOKUP(A197,'VIP Signups'!$A$5:$B$204,2,FALSE),TODAY(),"Y")+1)*12),EDATE(D197,12)),"One-time","Used","Manual","Manual",""))</x:f>
      </x:c>
      <x:c r="I197" s="18" t="str">
        <x:f>IF(A197="","",IF(G197="Manual","Manual",IF(G197&gt;0,"Yes","No")))</x:f>
      </x:c>
      <x:c r="J197" s="18" t="str">
        <x:f>IF(A197="","",B197&amp;": "&amp;IF(I197="Yes","Available ("&amp;G197&amp;"/"&amp;IF(E197="",1,E197)&amp;" left)",IF(I197="Manual","Manual check",IF(ISNUMBER(H197),"0/"&amp;IF(E197="",1,E197)&amp;" left; resets "&amp;TEXT(H197,"yyyy-mm-dd"),"Used"))))</x:f>
      </x:c>
      <x:c r="K197" s="18"/>
      <x:c r="L197" s="18" t="str">
        <x:v>Yes</x:v>
      </x:c>
      <x:c r="M197" s="18" t="str">
        <x:f>IF(A197="","",A197&amp;"|"&amp;B197)</x:f>
      </x:c>
      <x:c r="N197" s="18"/>
    </x:row>
    <x:row r="198">
      <x:c r="A198" s="18"/>
      <x:c r="B198" s="18"/>
      <x:c r="C198" s="18"/>
      <x:c r="D198" s="19"/>
      <x:c r="E198" s="20"/>
      <x:c r="F198" s="20"/>
      <x:c r="G198" s="20" t="str">
        <x:f>IF(A198="","",IF(C198="Manual","Manual",MAX(0,IF(E198="",1,E198)-IF(OR(D198="",D198&lt;SWITCH(C198,"Daily",TODAY(),"Weekly",IFERROR(VLOOKUP(A198,'VIP Signups'!$A$5:$B$204,2,FALSE)+INT((TODAY()-VLOOKUP(A198,'VIP Signups'!$A$5:$B$204,2,FALSE))/7)*7,TODAY()),"Monthly",IFERROR(EDATE(VLOOKUP(A198,'VIP Signups'!$A$5:$B$204,2,FALSE),DATEDIF(VLOOKUP(A198,'VIP Signups'!$A$5:$B$204,2,FALSE),TODAY(),"M")),TODAY()),"Quarterly",IFERROR(EDATE(VLOOKUP(A198,'VIP Signups'!$A$5:$B$204,2,FALSE),INT(DATEDIF(VLOOKUP(A198,'VIP Signups'!$A$5:$B$204,2,FALSE),TODAY(),"M")/3)*3),TODAY()),"Yearly",IFERROR(EDATE(VLOOKUP(A198,'VIP Signups'!$A$5:$B$204,2,FALSE),DATEDIF(VLOOKUP(A198,'VIP Signups'!$A$5:$B$204,2,FALSE),TODAY(),"Y")*12),TODAY()),"One-time",IFERROR(VLOOKUP(A198,'VIP Signups'!$A$5:$B$204,2,FALSE),D198),"Manual",TODAY(),TODAY())),0,IF(F198="",0,F198)))))</x:f>
      </x:c>
      <x:c r="H198" s="19" t="str">
        <x:f>IF(A198="","",SWITCH(C198,"Daily",TODAY()+1,"Weekly",IFERROR(VLOOKUP(A198,'VIP Signups'!$A$5:$B$204,2,FALSE)+CEILING((TODAY()-VLOOKUP(A198,'VIP Signups'!$A$5:$B$204,2,FALSE)+1)/7,1)*7,D198+7),"Monthly",IFERROR(EDATE(VLOOKUP(A198,'VIP Signups'!$A$5:$B$204,2,FALSE),DATEDIF(VLOOKUP(A198,'VIP Signups'!$A$5:$B$204,2,FALSE),TODAY(),"M")+1),EDATE(D198,1)),"Quarterly",IFERROR(EDATE(VLOOKUP(A198,'VIP Signups'!$A$5:$B$204,2,FALSE),(INT(DATEDIF(VLOOKUP(A198,'VIP Signups'!$A$5:$B$204,2,FALSE),TODAY(),"M")/3)+1)*3),EDATE(D198,3)),"Yearly",IFERROR(EDATE(VLOOKUP(A198,'VIP Signups'!$A$5:$B$204,2,FALSE),(DATEDIF(VLOOKUP(A198,'VIP Signups'!$A$5:$B$204,2,FALSE),TODAY(),"Y")+1)*12),EDATE(D198,12)),"One-time","Used","Manual","Manual",""))</x:f>
      </x:c>
      <x:c r="I198" s="18" t="str">
        <x:f>IF(A198="","",IF(G198="Manual","Manual",IF(G198&gt;0,"Yes","No")))</x:f>
      </x:c>
      <x:c r="J198" s="18" t="str">
        <x:f>IF(A198="","",B198&amp;": "&amp;IF(I198="Yes","Available ("&amp;G198&amp;"/"&amp;IF(E198="",1,E198)&amp;" left)",IF(I198="Manual","Manual check",IF(ISNUMBER(H198),"0/"&amp;IF(E198="",1,E198)&amp;" left; resets "&amp;TEXT(H198,"yyyy-mm-dd"),"Used"))))</x:f>
      </x:c>
      <x:c r="K198" s="18"/>
      <x:c r="L198" s="18" t="str">
        <x:v>Yes</x:v>
      </x:c>
      <x:c r="M198" s="18" t="str">
        <x:f>IF(A198="","",A198&amp;"|"&amp;B198)</x:f>
      </x:c>
      <x:c r="N198" s="18"/>
    </x:row>
    <x:row r="199">
      <x:c r="A199" s="18"/>
      <x:c r="B199" s="18"/>
      <x:c r="C199" s="18"/>
      <x:c r="D199" s="19"/>
      <x:c r="E199" s="20"/>
      <x:c r="F199" s="20"/>
      <x:c r="G199" s="20" t="str">
        <x:f>IF(A199="","",IF(C199="Manual","Manual",MAX(0,IF(E199="",1,E199)-IF(OR(D199="",D199&lt;SWITCH(C199,"Daily",TODAY(),"Weekly",IFERROR(VLOOKUP(A199,'VIP Signups'!$A$5:$B$204,2,FALSE)+INT((TODAY()-VLOOKUP(A199,'VIP Signups'!$A$5:$B$204,2,FALSE))/7)*7,TODAY()),"Monthly",IFERROR(EDATE(VLOOKUP(A199,'VIP Signups'!$A$5:$B$204,2,FALSE),DATEDIF(VLOOKUP(A199,'VIP Signups'!$A$5:$B$204,2,FALSE),TODAY(),"M")),TODAY()),"Quarterly",IFERROR(EDATE(VLOOKUP(A199,'VIP Signups'!$A$5:$B$204,2,FALSE),INT(DATEDIF(VLOOKUP(A199,'VIP Signups'!$A$5:$B$204,2,FALSE),TODAY(),"M")/3)*3),TODAY()),"Yearly",IFERROR(EDATE(VLOOKUP(A199,'VIP Signups'!$A$5:$B$204,2,FALSE),DATEDIF(VLOOKUP(A199,'VIP Signups'!$A$5:$B$204,2,FALSE),TODAY(),"Y")*12),TODAY()),"One-time",IFERROR(VLOOKUP(A199,'VIP Signups'!$A$5:$B$204,2,FALSE),D199),"Manual",TODAY(),TODAY())),0,IF(F199="",0,F199)))))</x:f>
      </x:c>
      <x:c r="H199" s="19" t="str">
        <x:f>IF(A199="","",SWITCH(C199,"Daily",TODAY()+1,"Weekly",IFERROR(VLOOKUP(A199,'VIP Signups'!$A$5:$B$204,2,FALSE)+CEILING((TODAY()-VLOOKUP(A199,'VIP Signups'!$A$5:$B$204,2,FALSE)+1)/7,1)*7,D199+7),"Monthly",IFERROR(EDATE(VLOOKUP(A199,'VIP Signups'!$A$5:$B$204,2,FALSE),DATEDIF(VLOOKUP(A199,'VIP Signups'!$A$5:$B$204,2,FALSE),TODAY(),"M")+1),EDATE(D199,1)),"Quarterly",IFERROR(EDATE(VLOOKUP(A199,'VIP Signups'!$A$5:$B$204,2,FALSE),(INT(DATEDIF(VLOOKUP(A199,'VIP Signups'!$A$5:$B$204,2,FALSE),TODAY(),"M")/3)+1)*3),EDATE(D199,3)),"Yearly",IFERROR(EDATE(VLOOKUP(A199,'VIP Signups'!$A$5:$B$204,2,FALSE),(DATEDIF(VLOOKUP(A199,'VIP Signups'!$A$5:$B$204,2,FALSE),TODAY(),"Y")+1)*12),EDATE(D199,12)),"One-time","Used","Manual","Manual",""))</x:f>
      </x:c>
      <x:c r="I199" s="18" t="str">
        <x:f>IF(A199="","",IF(G199="Manual","Manual",IF(G199&gt;0,"Yes","No")))</x:f>
      </x:c>
      <x:c r="J199" s="18" t="str">
        <x:f>IF(A199="","",B199&amp;": "&amp;IF(I199="Yes","Available ("&amp;G199&amp;"/"&amp;IF(E199="",1,E199)&amp;" left)",IF(I199="Manual","Manual check",IF(ISNUMBER(H199),"0/"&amp;IF(E199="",1,E199)&amp;" left; resets "&amp;TEXT(H199,"yyyy-mm-dd"),"Used"))))</x:f>
      </x:c>
      <x:c r="K199" s="18"/>
      <x:c r="L199" s="18" t="str">
        <x:v>Yes</x:v>
      </x:c>
      <x:c r="M199" s="18" t="str">
        <x:f>IF(A199="","",A199&amp;"|"&amp;B199)</x:f>
      </x:c>
      <x:c r="N199" s="18"/>
    </x:row>
    <x:row r="200">
      <x:c r="A200" s="18"/>
      <x:c r="B200" s="18"/>
      <x:c r="C200" s="18"/>
      <x:c r="D200" s="19"/>
      <x:c r="E200" s="20"/>
      <x:c r="F200" s="20"/>
      <x:c r="G200" s="20" t="str">
        <x:f>IF(A200="","",IF(C200="Manual","Manual",MAX(0,IF(E200="",1,E200)-IF(OR(D200="",D200&lt;SWITCH(C200,"Daily",TODAY(),"Weekly",IFERROR(VLOOKUP(A200,'VIP Signups'!$A$5:$B$204,2,FALSE)+INT((TODAY()-VLOOKUP(A200,'VIP Signups'!$A$5:$B$204,2,FALSE))/7)*7,TODAY()),"Monthly",IFERROR(EDATE(VLOOKUP(A200,'VIP Signups'!$A$5:$B$204,2,FALSE),DATEDIF(VLOOKUP(A200,'VIP Signups'!$A$5:$B$204,2,FALSE),TODAY(),"M")),TODAY()),"Quarterly",IFERROR(EDATE(VLOOKUP(A200,'VIP Signups'!$A$5:$B$204,2,FALSE),INT(DATEDIF(VLOOKUP(A200,'VIP Signups'!$A$5:$B$204,2,FALSE),TODAY(),"M")/3)*3),TODAY()),"Yearly",IFERROR(EDATE(VLOOKUP(A200,'VIP Signups'!$A$5:$B$204,2,FALSE),DATEDIF(VLOOKUP(A200,'VIP Signups'!$A$5:$B$204,2,FALSE),TODAY(),"Y")*12),TODAY()),"One-time",IFERROR(VLOOKUP(A200,'VIP Signups'!$A$5:$B$204,2,FALSE),D200),"Manual",TODAY(),TODAY())),0,IF(F200="",0,F200)))))</x:f>
      </x:c>
      <x:c r="H200" s="19" t="str">
        <x:f>IF(A200="","",SWITCH(C200,"Daily",TODAY()+1,"Weekly",IFERROR(VLOOKUP(A200,'VIP Signups'!$A$5:$B$204,2,FALSE)+CEILING((TODAY()-VLOOKUP(A200,'VIP Signups'!$A$5:$B$204,2,FALSE)+1)/7,1)*7,D200+7),"Monthly",IFERROR(EDATE(VLOOKUP(A200,'VIP Signups'!$A$5:$B$204,2,FALSE),DATEDIF(VLOOKUP(A200,'VIP Signups'!$A$5:$B$204,2,FALSE),TODAY(),"M")+1),EDATE(D200,1)),"Quarterly",IFERROR(EDATE(VLOOKUP(A200,'VIP Signups'!$A$5:$B$204,2,FALSE),(INT(DATEDIF(VLOOKUP(A200,'VIP Signups'!$A$5:$B$204,2,FALSE),TODAY(),"M")/3)+1)*3),EDATE(D200,3)),"Yearly",IFERROR(EDATE(VLOOKUP(A200,'VIP Signups'!$A$5:$B$204,2,FALSE),(DATEDIF(VLOOKUP(A200,'VIP Signups'!$A$5:$B$204,2,FALSE),TODAY(),"Y")+1)*12),EDATE(D200,12)),"One-time","Used","Manual","Manual",""))</x:f>
      </x:c>
      <x:c r="I200" s="18" t="str">
        <x:f>IF(A200="","",IF(G200="Manual","Manual",IF(G200&gt;0,"Yes","No")))</x:f>
      </x:c>
      <x:c r="J200" s="18" t="str">
        <x:f>IF(A200="","",B200&amp;": "&amp;IF(I200="Yes","Available ("&amp;G200&amp;"/"&amp;IF(E200="",1,E200)&amp;" left)",IF(I200="Manual","Manual check",IF(ISNUMBER(H200),"0/"&amp;IF(E200="",1,E200)&amp;" left; resets "&amp;TEXT(H200,"yyyy-mm-dd"),"Used"))))</x:f>
      </x:c>
      <x:c r="K200" s="18"/>
      <x:c r="L200" s="18" t="str">
        <x:v>Yes</x:v>
      </x:c>
      <x:c r="M200" s="18" t="str">
        <x:f>IF(A200="","",A200&amp;"|"&amp;B200)</x:f>
      </x:c>
      <x:c r="N200" s="18"/>
    </x:row>
    <x:row r="201">
      <x:c r="A201" s="18"/>
      <x:c r="B201" s="18"/>
      <x:c r="C201" s="18"/>
      <x:c r="D201" s="19"/>
      <x:c r="E201" s="20"/>
      <x:c r="F201" s="20"/>
      <x:c r="G201" s="20" t="str">
        <x:f>IF(A201="","",IF(C201="Manual","Manual",MAX(0,IF(E201="",1,E201)-IF(OR(D201="",D201&lt;SWITCH(C201,"Daily",TODAY(),"Weekly",IFERROR(VLOOKUP(A201,'VIP Signups'!$A$5:$B$204,2,FALSE)+INT((TODAY()-VLOOKUP(A201,'VIP Signups'!$A$5:$B$204,2,FALSE))/7)*7,TODAY()),"Monthly",IFERROR(EDATE(VLOOKUP(A201,'VIP Signups'!$A$5:$B$204,2,FALSE),DATEDIF(VLOOKUP(A201,'VIP Signups'!$A$5:$B$204,2,FALSE),TODAY(),"M")),TODAY()),"Quarterly",IFERROR(EDATE(VLOOKUP(A201,'VIP Signups'!$A$5:$B$204,2,FALSE),INT(DATEDIF(VLOOKUP(A201,'VIP Signups'!$A$5:$B$204,2,FALSE),TODAY(),"M")/3)*3),TODAY()),"Yearly",IFERROR(EDATE(VLOOKUP(A201,'VIP Signups'!$A$5:$B$204,2,FALSE),DATEDIF(VLOOKUP(A201,'VIP Signups'!$A$5:$B$204,2,FALSE),TODAY(),"Y")*12),TODAY()),"One-time",IFERROR(VLOOKUP(A201,'VIP Signups'!$A$5:$B$204,2,FALSE),D201),"Manual",TODAY(),TODAY())),0,IF(F201="",0,F201)))))</x:f>
      </x:c>
      <x:c r="H201" s="19" t="str">
        <x:f>IF(A201="","",SWITCH(C201,"Daily",TODAY()+1,"Weekly",IFERROR(VLOOKUP(A201,'VIP Signups'!$A$5:$B$204,2,FALSE)+CEILING((TODAY()-VLOOKUP(A201,'VIP Signups'!$A$5:$B$204,2,FALSE)+1)/7,1)*7,D201+7),"Monthly",IFERROR(EDATE(VLOOKUP(A201,'VIP Signups'!$A$5:$B$204,2,FALSE),DATEDIF(VLOOKUP(A201,'VIP Signups'!$A$5:$B$204,2,FALSE),TODAY(),"M")+1),EDATE(D201,1)),"Quarterly",IFERROR(EDATE(VLOOKUP(A201,'VIP Signups'!$A$5:$B$204,2,FALSE),(INT(DATEDIF(VLOOKUP(A201,'VIP Signups'!$A$5:$B$204,2,FALSE),TODAY(),"M")/3)+1)*3),EDATE(D201,3)),"Yearly",IFERROR(EDATE(VLOOKUP(A201,'VIP Signups'!$A$5:$B$204,2,FALSE),(DATEDIF(VLOOKUP(A201,'VIP Signups'!$A$5:$B$204,2,FALSE),TODAY(),"Y")+1)*12),EDATE(D201,12)),"One-time","Used","Manual","Manual",""))</x:f>
      </x:c>
      <x:c r="I201" s="18" t="str">
        <x:f>IF(A201="","",IF(G201="Manual","Manual",IF(G201&gt;0,"Yes","No")))</x:f>
      </x:c>
      <x:c r="J201" s="18" t="str">
        <x:f>IF(A201="","",B201&amp;": "&amp;IF(I201="Yes","Available ("&amp;G201&amp;"/"&amp;IF(E201="",1,E201)&amp;" left)",IF(I201="Manual","Manual check",IF(ISNUMBER(H201),"0/"&amp;IF(E201="",1,E201)&amp;" left; resets "&amp;TEXT(H201,"yyyy-mm-dd"),"Used"))))</x:f>
      </x:c>
      <x:c r="K201" s="18"/>
      <x:c r="L201" s="18" t="str">
        <x:v>Yes</x:v>
      </x:c>
      <x:c r="M201" s="18" t="str">
        <x:f>IF(A201="","",A201&amp;"|"&amp;B201)</x:f>
      </x:c>
      <x:c r="N201" s="18"/>
    </x:row>
    <x:row r="202">
      <x:c r="A202" s="18"/>
      <x:c r="B202" s="18"/>
      <x:c r="C202" s="18"/>
      <x:c r="D202" s="19"/>
      <x:c r="E202" s="20"/>
      <x:c r="F202" s="20"/>
      <x:c r="G202" s="20" t="str">
        <x:f>IF(A202="","",IF(C202="Manual","Manual",MAX(0,IF(E202="",1,E202)-IF(OR(D202="",D202&lt;SWITCH(C202,"Daily",TODAY(),"Weekly",IFERROR(VLOOKUP(A202,'VIP Signups'!$A$5:$B$204,2,FALSE)+INT((TODAY()-VLOOKUP(A202,'VIP Signups'!$A$5:$B$204,2,FALSE))/7)*7,TODAY()),"Monthly",IFERROR(EDATE(VLOOKUP(A202,'VIP Signups'!$A$5:$B$204,2,FALSE),DATEDIF(VLOOKUP(A202,'VIP Signups'!$A$5:$B$204,2,FALSE),TODAY(),"M")),TODAY()),"Quarterly",IFERROR(EDATE(VLOOKUP(A202,'VIP Signups'!$A$5:$B$204,2,FALSE),INT(DATEDIF(VLOOKUP(A202,'VIP Signups'!$A$5:$B$204,2,FALSE),TODAY(),"M")/3)*3),TODAY()),"Yearly",IFERROR(EDATE(VLOOKUP(A202,'VIP Signups'!$A$5:$B$204,2,FALSE),DATEDIF(VLOOKUP(A202,'VIP Signups'!$A$5:$B$204,2,FALSE),TODAY(),"Y")*12),TODAY()),"One-time",IFERROR(VLOOKUP(A202,'VIP Signups'!$A$5:$B$204,2,FALSE),D202),"Manual",TODAY(),TODAY())),0,IF(F202="",0,F202)))))</x:f>
      </x:c>
      <x:c r="H202" s="19" t="str">
        <x:f>IF(A202="","",SWITCH(C202,"Daily",TODAY()+1,"Weekly",IFERROR(VLOOKUP(A202,'VIP Signups'!$A$5:$B$204,2,FALSE)+CEILING((TODAY()-VLOOKUP(A202,'VIP Signups'!$A$5:$B$204,2,FALSE)+1)/7,1)*7,D202+7),"Monthly",IFERROR(EDATE(VLOOKUP(A202,'VIP Signups'!$A$5:$B$204,2,FALSE),DATEDIF(VLOOKUP(A202,'VIP Signups'!$A$5:$B$204,2,FALSE),TODAY(),"M")+1),EDATE(D202,1)),"Quarterly",IFERROR(EDATE(VLOOKUP(A202,'VIP Signups'!$A$5:$B$204,2,FALSE),(INT(DATEDIF(VLOOKUP(A202,'VIP Signups'!$A$5:$B$204,2,FALSE),TODAY(),"M")/3)+1)*3),EDATE(D202,3)),"Yearly",IFERROR(EDATE(VLOOKUP(A202,'VIP Signups'!$A$5:$B$204,2,FALSE),(DATEDIF(VLOOKUP(A202,'VIP Signups'!$A$5:$B$204,2,FALSE),TODAY(),"Y")+1)*12),EDATE(D202,12)),"One-time","Used","Manual","Manual",""))</x:f>
      </x:c>
      <x:c r="I202" s="18" t="str">
        <x:f>IF(A202="","",IF(G202="Manual","Manual",IF(G202&gt;0,"Yes","No")))</x:f>
      </x:c>
      <x:c r="J202" s="18" t="str">
        <x:f>IF(A202="","",B202&amp;": "&amp;IF(I202="Yes","Available ("&amp;G202&amp;"/"&amp;IF(E202="",1,E202)&amp;" left)",IF(I202="Manual","Manual check",IF(ISNUMBER(H202),"0/"&amp;IF(E202="",1,E202)&amp;" left; resets "&amp;TEXT(H202,"yyyy-mm-dd"),"Used"))))</x:f>
      </x:c>
      <x:c r="K202" s="18"/>
      <x:c r="L202" s="18" t="str">
        <x:v>Yes</x:v>
      </x:c>
      <x:c r="M202" s="18" t="str">
        <x:f>IF(A202="","",A202&amp;"|"&amp;B202)</x:f>
      </x:c>
      <x:c r="N202" s="18"/>
    </x:row>
    <x:row r="203">
      <x:c r="A203" s="18"/>
      <x:c r="B203" s="18"/>
      <x:c r="C203" s="18"/>
      <x:c r="D203" s="19"/>
      <x:c r="E203" s="20"/>
      <x:c r="F203" s="20"/>
      <x:c r="G203" s="20" t="str">
        <x:f>IF(A203="","",IF(C203="Manual","Manual",MAX(0,IF(E203="",1,E203)-IF(OR(D203="",D203&lt;SWITCH(C203,"Daily",TODAY(),"Weekly",IFERROR(VLOOKUP(A203,'VIP Signups'!$A$5:$B$204,2,FALSE)+INT((TODAY()-VLOOKUP(A203,'VIP Signups'!$A$5:$B$204,2,FALSE))/7)*7,TODAY()),"Monthly",IFERROR(EDATE(VLOOKUP(A203,'VIP Signups'!$A$5:$B$204,2,FALSE),DATEDIF(VLOOKUP(A203,'VIP Signups'!$A$5:$B$204,2,FALSE),TODAY(),"M")),TODAY()),"Quarterly",IFERROR(EDATE(VLOOKUP(A203,'VIP Signups'!$A$5:$B$204,2,FALSE),INT(DATEDIF(VLOOKUP(A203,'VIP Signups'!$A$5:$B$204,2,FALSE),TODAY(),"M")/3)*3),TODAY()),"Yearly",IFERROR(EDATE(VLOOKUP(A203,'VIP Signups'!$A$5:$B$204,2,FALSE),DATEDIF(VLOOKUP(A203,'VIP Signups'!$A$5:$B$204,2,FALSE),TODAY(),"Y")*12),TODAY()),"One-time",IFERROR(VLOOKUP(A203,'VIP Signups'!$A$5:$B$204,2,FALSE),D203),"Manual",TODAY(),TODAY())),0,IF(F203="",0,F203)))))</x:f>
      </x:c>
      <x:c r="H203" s="19" t="str">
        <x:f>IF(A203="","",SWITCH(C203,"Daily",TODAY()+1,"Weekly",IFERROR(VLOOKUP(A203,'VIP Signups'!$A$5:$B$204,2,FALSE)+CEILING((TODAY()-VLOOKUP(A203,'VIP Signups'!$A$5:$B$204,2,FALSE)+1)/7,1)*7,D203+7),"Monthly",IFERROR(EDATE(VLOOKUP(A203,'VIP Signups'!$A$5:$B$204,2,FALSE),DATEDIF(VLOOKUP(A203,'VIP Signups'!$A$5:$B$204,2,FALSE),TODAY(),"M")+1),EDATE(D203,1)),"Quarterly",IFERROR(EDATE(VLOOKUP(A203,'VIP Signups'!$A$5:$B$204,2,FALSE),(INT(DATEDIF(VLOOKUP(A203,'VIP Signups'!$A$5:$B$204,2,FALSE),TODAY(),"M")/3)+1)*3),EDATE(D203,3)),"Yearly",IFERROR(EDATE(VLOOKUP(A203,'VIP Signups'!$A$5:$B$204,2,FALSE),(DATEDIF(VLOOKUP(A203,'VIP Signups'!$A$5:$B$204,2,FALSE),TODAY(),"Y")+1)*12),EDATE(D203,12)),"One-time","Used","Manual","Manual",""))</x:f>
      </x:c>
      <x:c r="I203" s="18" t="str">
        <x:f>IF(A203="","",IF(G203="Manual","Manual",IF(G203&gt;0,"Yes","No")))</x:f>
      </x:c>
      <x:c r="J203" s="18" t="str">
        <x:f>IF(A203="","",B203&amp;": "&amp;IF(I203="Yes","Available ("&amp;G203&amp;"/"&amp;IF(E203="",1,E203)&amp;" left)",IF(I203="Manual","Manual check",IF(ISNUMBER(H203),"0/"&amp;IF(E203="",1,E203)&amp;" left; resets "&amp;TEXT(H203,"yyyy-mm-dd"),"Used"))))</x:f>
      </x:c>
      <x:c r="K203" s="18"/>
      <x:c r="L203" s="18" t="str">
        <x:v>Yes</x:v>
      </x:c>
      <x:c r="M203" s="18" t="str">
        <x:f>IF(A203="","",A203&amp;"|"&amp;B203)</x:f>
      </x:c>
      <x:c r="N203" s="18"/>
    </x:row>
    <x:row r="204">
      <x:c r="A204" s="18"/>
      <x:c r="B204" s="18"/>
      <x:c r="C204" s="18"/>
      <x:c r="D204" s="19"/>
      <x:c r="E204" s="20"/>
      <x:c r="F204" s="20"/>
      <x:c r="G204" s="20" t="str">
        <x:f>IF(A204="","",IF(C204="Manual","Manual",MAX(0,IF(E204="",1,E204)-IF(OR(D204="",D204&lt;SWITCH(C204,"Daily",TODAY(),"Weekly",IFERROR(VLOOKUP(A204,'VIP Signups'!$A$5:$B$204,2,FALSE)+INT((TODAY()-VLOOKUP(A204,'VIP Signups'!$A$5:$B$204,2,FALSE))/7)*7,TODAY()),"Monthly",IFERROR(EDATE(VLOOKUP(A204,'VIP Signups'!$A$5:$B$204,2,FALSE),DATEDIF(VLOOKUP(A204,'VIP Signups'!$A$5:$B$204,2,FALSE),TODAY(),"M")),TODAY()),"Quarterly",IFERROR(EDATE(VLOOKUP(A204,'VIP Signups'!$A$5:$B$204,2,FALSE),INT(DATEDIF(VLOOKUP(A204,'VIP Signups'!$A$5:$B$204,2,FALSE),TODAY(),"M")/3)*3),TODAY()),"Yearly",IFERROR(EDATE(VLOOKUP(A204,'VIP Signups'!$A$5:$B$204,2,FALSE),DATEDIF(VLOOKUP(A204,'VIP Signups'!$A$5:$B$204,2,FALSE),TODAY(),"Y")*12),TODAY()),"One-time",IFERROR(VLOOKUP(A204,'VIP Signups'!$A$5:$B$204,2,FALSE),D204),"Manual",TODAY(),TODAY())),0,IF(F204="",0,F204)))))</x:f>
      </x:c>
      <x:c r="H204" s="19" t="str">
        <x:f>IF(A204="","",SWITCH(C204,"Daily",TODAY()+1,"Weekly",IFERROR(VLOOKUP(A204,'VIP Signups'!$A$5:$B$204,2,FALSE)+CEILING((TODAY()-VLOOKUP(A204,'VIP Signups'!$A$5:$B$204,2,FALSE)+1)/7,1)*7,D204+7),"Monthly",IFERROR(EDATE(VLOOKUP(A204,'VIP Signups'!$A$5:$B$204,2,FALSE),DATEDIF(VLOOKUP(A204,'VIP Signups'!$A$5:$B$204,2,FALSE),TODAY(),"M")+1),EDATE(D204,1)),"Quarterly",IFERROR(EDATE(VLOOKUP(A204,'VIP Signups'!$A$5:$B$204,2,FALSE),(INT(DATEDIF(VLOOKUP(A204,'VIP Signups'!$A$5:$B$204,2,FALSE),TODAY(),"M")/3)+1)*3),EDATE(D204,3)),"Yearly",IFERROR(EDATE(VLOOKUP(A204,'VIP Signups'!$A$5:$B$204,2,FALSE),(DATEDIF(VLOOKUP(A204,'VIP Signups'!$A$5:$B$204,2,FALSE),TODAY(),"Y")+1)*12),EDATE(D204,12)),"One-time","Used","Manual","Manual",""))</x:f>
      </x:c>
      <x:c r="I204" s="18" t="str">
        <x:f>IF(A204="","",IF(G204="Manual","Manual",IF(G204&gt;0,"Yes","No")))</x:f>
      </x:c>
      <x:c r="J204" s="18" t="str">
        <x:f>IF(A204="","",B204&amp;": "&amp;IF(I204="Yes","Available ("&amp;G204&amp;"/"&amp;IF(E204="",1,E204)&amp;" left)",IF(I204="Manual","Manual check",IF(ISNUMBER(H204),"0/"&amp;IF(E204="",1,E204)&amp;" left; resets "&amp;TEXT(H204,"yyyy-mm-dd"),"Used"))))</x:f>
      </x:c>
      <x:c r="K204" s="18"/>
      <x:c r="L204" s="18" t="str">
        <x:v>Yes</x:v>
      </x:c>
      <x:c r="M204" s="18" t="str">
        <x:f>IF(A204="","",A204&amp;"|"&amp;B204)</x:f>
      </x:c>
      <x:c r="N204" s="18"/>
    </x:row>
  </x:sheetData>
  <x:mergeCells>
    <x:mergeCell ref="A1:N1"/>
    <x:mergeCell ref="A2:N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87.5" hidden="0" customWidth="1"/>
  </x:cols>
  <x:sheetData>
    <x:row r="1">
      <x:c r="A1" s="3" t="str">
        <x:v>Setup Guide</x:v>
      </x:c>
      <x:c r="B1" s="3" t="str">
        <x:v>Setup Guide</x:v>
      </x:c>
      <x:c r="C1" s="3" t="str">
        <x:v>Setup Guide</x:v>
      </x:c>
      <x:c r="D1" s="3" t="str">
        <x:v>Setup Guide</x:v>
      </x:c>
      <x:c r="E1" s="3" t="str">
        <x:v>Setup Guide</x:v>
      </x:c>
      <x:c r="F1" s="3" t="str">
        <x:v>Setup Guide</x:v>
      </x:c>
      <x:c r="G1" s="3" t="str">
        <x:v>Setup Guide</x:v>
      </x:c>
      <x:c r="H1" s="3" t="str">
        <x:v>Setup Guide</x:v>
      </x:c>
    </x:row>
    <x:row r="2">
      <x:c r="A2" s="7" t="str">
        <x:v>Copy this workbook into Google Sheets, customize Lists, track resets, then publish Plugin Export as CSV.</x:v>
      </x:c>
      <x:c r="B2" s="7" t="str">
        <x:v>Copy this workbook into Google Sheets, customize Lists, track resets, then publish Plugin Export as CSV.</x:v>
      </x:c>
      <x:c r="C2" s="7" t="str">
        <x:v>Copy this workbook into Google Sheets, customize Lists, track resets, then publish Plugin Export as CSV.</x:v>
      </x:c>
      <x:c r="D2" s="7" t="str">
        <x:v>Copy this workbook into Google Sheets, customize Lists, track resets, then publish Plugin Export as CSV.</x:v>
      </x:c>
      <x:c r="E2" s="7" t="str">
        <x:v>Copy this workbook into Google Sheets, customize Lists, track resets, then publish Plugin Export as CSV.</x:v>
      </x:c>
      <x:c r="F2" s="7" t="str">
        <x:v>Copy this workbook into Google Sheets, customize Lists, track resets, then publish Plugin Export as CSV.</x:v>
      </x:c>
      <x:c r="G2" s="7" t="str">
        <x:v>Copy this workbook into Google Sheets, customize Lists, track resets, then publish Plugin Export as CSV.</x:v>
      </x:c>
      <x:c r="H2" s="7" t="str">
        <x:v>Copy this workbook into Google Sheets, customize Lists, track resets, then publish Plugin Export as CSV.</x:v>
      </x:c>
    </x:row>
    <x:row r="4">
      <x:c r="A4" s="13" t="str">
        <x:v>Step</x:v>
      </x:c>
      <x:c r="B4" s="13" t="str">
        <x:v>What to do</x:v>
      </x:c>
    </x:row>
    <x:row r="5">
      <x:c r="A5" s="18" t="n">
        <x:v>1</x:v>
      </x:c>
      <x:c r="B5" s="18" t="str">
        <x:v>Make a copy of this workbook in Google Sheets.</x:v>
      </x:c>
    </x:row>
    <x:row r="6">
      <x:c r="A6" s="18" t="n">
        <x:v>2</x:v>
      </x:c>
      <x:c r="B6" s="18" t="str">
        <x:v>Customize durations, VIP types, benefits, and resettable benefits on Lists.</x:v>
      </x:c>
    </x:row>
    <x:row r="7">
      <x:c r="A7" s="18" t="n">
        <x:v>3</x:v>
      </x:c>
      <x:c r="B7" s="18" t="str">
        <x:v>Enter VIPs on VIP Signups.</x:v>
      </x:c>
    </x:row>
    <x:row r="8">
      <x:c r="A8" s="18" t="n">
        <x:v>4</x:v>
      </x:c>
      <x:c r="B8" s="18" t="str">
        <x:v>Track recurring benefits on Benefit Resets.</x:v>
      </x:c>
    </x:row>
    <x:row r="9">
      <x:c r="A9" s="18" t="n">
        <x:v>5</x:v>
      </x:c>
      <x:c r="B9" s="18" t="str">
        <x:v>Set Max Uses for benefits with multiple uses in a reset period.</x:v>
      </x:c>
    </x:row>
    <x:row r="10">
      <x:c r="A10" s="18" t="n">
        <x:v>6</x:v>
      </x:c>
      <x:c r="B10" s="18" t="str">
        <x:v>Update Uses This Period and Last Used when a benefit is claimed.</x:v>
      </x:c>
    </x:row>
    <x:row r="11">
      <x:c r="A11" s="18" t="n">
        <x:v>7</x:v>
      </x:c>
      <x:c r="B11" s="18" t="str">
        <x:v>When a new signup-date anchored period begins, Remaining Uses automatically returns to Max Uses.</x:v>
      </x:c>
    </x:row>
    <x:row r="12">
      <x:c r="A12" s="18" t="n">
        <x:v>8</x:v>
      </x:c>
      <x:c r="B12" s="18" t="str">
        <x:v>Publish only Plugin Export as CSV.</x:v>
      </x:c>
    </x:row>
    <x:row r="13">
      <x:c r="A13" s="18" t="n">
        <x:v>9</x:v>
      </x:c>
      <x:c r="B13" s="18" t="str">
        <x:v>Copy the spreadsheet ID into VIP Name Checker.</x:v>
      </x:c>
    </x:row>
    <x:row r="14">
      <x:c r="A14" s="18" t="n">
        <x:v>10</x:v>
      </x:c>
      <x:c r="B14" s="18" t="str">
        <x:v>Use C for VIP Type, D for Benefits, E for Duration, F for Status, and G for Notes.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1.25" hidden="0" customWidth="1"/>
    <x:col min="2" max="2" width="21.25" hidden="0" customWidth="1"/>
    <x:col min="3" max="3" width="21.25" hidden="0" customWidth="1"/>
    <x:col min="4" max="4" width="21.25" hidden="0" customWidth="1"/>
    <x:col min="5" max="5" width="21.25" hidden="0" customWidth="1"/>
    <x:col min="6" max="6" width="21.25" hidden="0" customWidth="1"/>
    <x:col min="7" max="7" width="21.25" hidden="0" customWidth="1"/>
    <x:col min="8" max="8" width="21.25" hidden="0" customWidth="1"/>
  </x:cols>
  <x:sheetData>
    <x:row r="1">
      <x:c r="A1" s="13" t="str">
        <x:v>Duration Name</x:v>
      </x:c>
      <x:c r="B1" s="13" t="str">
        <x:v>Days</x:v>
      </x:c>
      <x:c r="C1" s="13" t="str">
        <x:v>Description / Use</x:v>
      </x:c>
      <x:c r="D1" s="13" t="str">
        <x:v>VIP Types</x:v>
      </x:c>
      <x:c r="E1" s="13" t="str">
        <x:v>Benefits / Common Values</x:v>
      </x:c>
      <x:c r="F1" s="13" t="str">
        <x:v>Payment / Proof</x:v>
      </x:c>
      <x:c r="G1" s="13" t="str">
        <x:v>Resettable Benefits</x:v>
      </x:c>
      <x:c r="H1" s="13" t="str">
        <x:v>Reset Periods</x:v>
      </x:c>
    </x:row>
    <x:row r="2">
      <x:c r="A2" s="18" t="str">
        <x:v>Event Only</x:v>
      </x:c>
      <x:c r="B2" s="18" t="n">
        <x:v>0</x:v>
      </x:c>
      <x:c r="C2" s="18" t="str">
        <x:v>Same-day/event pass.</x:v>
      </x:c>
      <x:c r="D2" s="18" t="str">
        <x:v>Event</x:v>
      </x:c>
      <x:c r="E2" s="18" t="str">
        <x:v>Event Access</x:v>
      </x:c>
      <x:c r="F2" s="18" t="str">
        <x:v>Paid</x:v>
      </x:c>
      <x:c r="G2" s="18" t="str">
        <x:v>Photo Slot</x:v>
      </x:c>
      <x:c r="H2" s="18" t="str">
        <x:v>Daily</x:v>
      </x:c>
    </x:row>
    <x:row r="3">
      <x:c r="A3" s="18" t="str">
        <x:v>Weekend Pass</x:v>
      </x:c>
      <x:c r="B3" s="18" t="n">
        <x:v>3</x:v>
      </x:c>
      <x:c r="C3" s="18" t="str">
        <x:v>Short package.</x:v>
      </x:c>
      <x:c r="D3" s="18" t="str">
        <x:v>Bronze</x:v>
      </x:c>
      <x:c r="E3" s="18" t="str">
        <x:v>Queue Priority</x:v>
      </x:c>
      <x:c r="F3" s="18" t="str">
        <x:v>Comp</x:v>
      </x:c>
      <x:c r="G3" s="18" t="str">
        <x:v>Gamba Token</x:v>
      </x:c>
      <x:c r="H3" s="18" t="str">
        <x:v>Weekly</x:v>
      </x:c>
    </x:row>
    <x:row r="4">
      <x:c r="A4" s="18" t="str">
        <x:v>7 Days</x:v>
      </x:c>
      <x:c r="B4" s="18" t="n">
        <x:v>7</x:v>
      </x:c>
      <x:c r="C4" s="18" t="str">
        <x:v>One week.</x:v>
      </x:c>
      <x:c r="D4" s="18" t="str">
        <x:v>Silver</x:v>
      </x:c>
      <x:c r="E4" s="18" t="str">
        <x:v>Photo Slot</x:v>
      </x:c>
      <x:c r="F4" s="18" t="str">
        <x:v>Pending</x:v>
      </x:c>
      <x:c r="G4" s="18" t="str">
        <x:v>Private Room</x:v>
      </x:c>
      <x:c r="H4" s="18" t="str">
        <x:v>Monthly</x:v>
      </x:c>
    </x:row>
    <x:row r="5">
      <x:c r="A5" s="18" t="str">
        <x:v>14 Days</x:v>
      </x:c>
      <x:c r="B5" s="18" t="n">
        <x:v>14</x:v>
      </x:c>
      <x:c r="C5" s="18" t="str">
        <x:v>Two weeks.</x:v>
      </x:c>
      <x:c r="D5" s="18" t="str">
        <x:v>Gold</x:v>
      </x:c>
      <x:c r="E5" s="18" t="str">
        <x:v>Gamba Token</x:v>
      </x:c>
      <x:c r="F5" s="18" t="str">
        <x:v>Trade Verified</x:v>
      </x:c>
      <x:c r="G5" s="18" t="str">
        <x:v>Free Entry</x:v>
      </x:c>
      <x:c r="H5" s="18" t="str">
        <x:v>Quarterly</x:v>
      </x:c>
    </x:row>
    <x:row r="6">
      <x:c r="A6" s="18" t="str">
        <x:v>30 Days</x:v>
      </x:c>
      <x:c r="B6" s="18" t="n">
        <x:v>30</x:v>
      </x:c>
      <x:c r="C6" s="18" t="str">
        <x:v>Standard monthly pass.</x:v>
      </x:c>
      <x:c r="D6" s="18" t="str">
        <x:v>Platinum</x:v>
      </x:c>
      <x:c r="E6" s="18" t="str">
        <x:v>Private Room</x:v>
      </x:c>
      <x:c r="F6" s="18" t="str">
        <x:v>Screenshot</x:v>
      </x:c>
      <x:c r="G6" s="18" t="str">
        <x:v>Custom Benefit</x:v>
      </x:c>
      <x:c r="H6" s="18" t="str">
        <x:v>Yearly</x:v>
      </x:c>
    </x:row>
    <x:row r="7">
      <x:c r="A7" s="18" t="str">
        <x:v>60 Days</x:v>
      </x:c>
      <x:c r="B7" s="18" t="n">
        <x:v>60</x:v>
      </x:c>
      <x:c r="C7" s="18" t="str">
        <x:v>Two months.</x:v>
      </x:c>
      <x:c r="D7" s="18" t="str">
        <x:v>Custom</x:v>
      </x:c>
      <x:c r="E7" s="18" t="str">
        <x:v>Custom Benefit</x:v>
      </x:c>
      <x:c r="F7" s="18" t="str">
        <x:v>Other</x:v>
      </x:c>
      <x:c r="G7" s="18" t="str"/>
      <x:c r="H7" s="18" t="str">
        <x:v>One-time</x:v>
      </x:c>
    </x:row>
    <x:row r="8">
      <x:c r="A8" s="18" t="str">
        <x:v>90 Days</x:v>
      </x:c>
      <x:c r="B8" s="18" t="n">
        <x:v>90</x:v>
      </x:c>
      <x:c r="C8" s="18" t="str">
        <x:v>Three months.</x:v>
      </x:c>
      <x:c r="D8" s="18" t="str"/>
      <x:c r="E8" s="18" t="str">
        <x:v>Queue Priority; Photo Slot; Gamba Token</x:v>
      </x:c>
      <x:c r="F8" s="18" t="str"/>
      <x:c r="G8" s="18" t="str"/>
      <x:c r="H8" s="18" t="str">
        <x:v>Manual</x:v>
      </x:c>
    </x:row>
    <x:row r="9">
      <x:c r="A9" s="18" t="str">
        <x:v>Season Pass</x:v>
      </x:c>
      <x:c r="B9" s="18" t="n">
        <x:v>120</x:v>
      </x:c>
      <x:c r="C9" s="18" t="str">
        <x:v>Long seasonal membership.</x:v>
      </x:c>
      <x:c r="D9" s="18" t="str"/>
      <x:c r="E9" s="18" t="str"/>
      <x:c r="F9" s="18" t="str"/>
      <x:c r="G9" s="18" t="str"/>
      <x:c r="H9" s="18" t="str"/>
    </x:row>
    <x:row r="10">
      <x:c r="A10" s="18" t="str">
        <x:v>Lifetime</x:v>
      </x:c>
      <x:c r="B10" s="18" t="n">
        <x:v>36500</x:v>
      </x:c>
      <x:c r="C10" s="18" t="str">
        <x:v>Effectively non-expiring.</x:v>
      </x:c>
      <x:c r="D10" s="18" t="str"/>
      <x:c r="E10" s="18" t="str"/>
      <x:c r="F10" s="18" t="str"/>
      <x:c r="G10" s="18" t="str"/>
      <x:c r="H10" s="18" t="str"/>
    </x:row>
    <x:row r="11">
      <x:c r="A11" s="18" t="str">
        <x:v>Custom Slot 1</x:v>
      </x:c>
      <x:c r="B11" s="18" t="n">
        <x:v>1</x:v>
      </x:c>
      <x:c r="C11" s="18" t="str">
        <x:v>Rename this row.</x:v>
      </x:c>
      <x:c r="D11" s="18" t="str"/>
      <x:c r="E11" s="18" t="str"/>
      <x:c r="F11" s="18" t="str"/>
      <x:c r="G11" s="18" t="str"/>
      <x:c r="H11" s="18" t="str"/>
    </x:row>
    <x:row r="12">
      <x:c r="A12" s="18" t="str">
        <x:v>Custom Slot 2</x:v>
      </x:c>
      <x:c r="B12" s="18" t="n">
        <x:v>1</x:v>
      </x:c>
      <x:c r="C12" s="18" t="str">
        <x:v>Rename this row.</x:v>
      </x:c>
      <x:c r="D12" s="18" t="str"/>
      <x:c r="E12" s="18" t="str"/>
      <x:c r="F12" s="18" t="str"/>
      <x:c r="G12" s="18" t="str"/>
      <x:c r="H12" s="18" t="str"/>
    </x:row>
    <x:row r="13">
      <x:c r="A13" s="18" t="str">
        <x:v>Custom Slot 3</x:v>
      </x:c>
      <x:c r="B13" s="18" t="n">
        <x:v>1</x:v>
      </x:c>
      <x:c r="C13" s="18" t="str">
        <x:v>Rename this row.</x:v>
      </x:c>
      <x:c r="D13" s="18" t="str"/>
      <x:c r="E13" s="18" t="str"/>
      <x:c r="F13" s="18" t="str"/>
      <x:c r="G13" s="18" t="str"/>
      <x:c r="H13" s="18" t="str"/>
    </x:row>
    <x:row r="14">
      <x:c r="A14" s="18"/>
      <x:c r="B14" s="18"/>
      <x:c r="C14" s="18"/>
      <x:c r="D14" s="18"/>
      <x:c r="E14" s="18"/>
      <x:c r="F14" s="18"/>
      <x:c r="G14" s="18"/>
      <x:c r="H14" s="18"/>
    </x:row>
    <x:row r="15">
      <x:c r="A15" s="18"/>
      <x:c r="B15" s="18"/>
      <x:c r="C15" s="18"/>
      <x:c r="D15" s="18"/>
      <x:c r="E15" s="18"/>
      <x:c r="F15" s="18"/>
      <x:c r="G15" s="18"/>
      <x:c r="H15" s="18"/>
    </x:row>
    <x:row r="16">
      <x:c r="A16" s="18"/>
      <x:c r="B16" s="18"/>
      <x:c r="C16" s="18"/>
      <x:c r="D16" s="18"/>
      <x:c r="E16" s="18"/>
      <x:c r="F16" s="18"/>
      <x:c r="G16" s="18"/>
      <x:c r="H16" s="18"/>
    </x:row>
    <x:row r="17">
      <x:c r="A17" s="18"/>
      <x:c r="B17" s="18"/>
      <x:c r="C17" s="18"/>
      <x:c r="D17" s="18"/>
      <x:c r="E17" s="18"/>
      <x:c r="F17" s="18"/>
      <x:c r="G17" s="18"/>
      <x:c r="H17" s="18"/>
    </x:row>
    <x:row r="18">
      <x:c r="A18" s="18"/>
      <x:c r="B18" s="18"/>
      <x:c r="C18" s="18"/>
      <x:c r="D18" s="18"/>
      <x:c r="E18" s="18"/>
      <x:c r="F18" s="18"/>
      <x:c r="G18" s="18"/>
      <x:c r="H18" s="18"/>
    </x:row>
    <x:row r="19">
      <x:c r="A19" s="18"/>
      <x:c r="B19" s="18"/>
      <x:c r="C19" s="18"/>
      <x:c r="D19" s="18"/>
      <x:c r="E19" s="18"/>
      <x:c r="F19" s="18"/>
      <x:c r="G19" s="18"/>
      <x:c r="H19" s="18"/>
    </x:row>
    <x:row r="20">
      <x:c r="A20" s="18"/>
      <x:c r="B20" s="18"/>
      <x:c r="C20" s="18"/>
      <x:c r="D20" s="18"/>
      <x:c r="E20" s="18"/>
      <x:c r="F20" s="18"/>
      <x:c r="G20" s="18"/>
      <x:c r="H20" s="18"/>
    </x:row>
    <x:row r="21">
      <x:c r="A21" s="18"/>
      <x:c r="B21" s="18"/>
      <x:c r="C21" s="18"/>
      <x:c r="D21" s="18"/>
      <x:c r="E21" s="18"/>
      <x:c r="F21" s="18"/>
      <x:c r="G21" s="18"/>
      <x:c r="H21" s="18"/>
    </x:row>
    <x:row r="22">
      <x:c r="A22" s="18"/>
      <x:c r="B22" s="18"/>
      <x:c r="C22" s="18"/>
      <x:c r="D22" s="18"/>
      <x:c r="E22" s="18"/>
      <x:c r="F22" s="18"/>
      <x:c r="G22" s="18"/>
      <x:c r="H22" s="18"/>
    </x:row>
    <x:row r="23">
      <x:c r="A23" s="18"/>
      <x:c r="B23" s="18"/>
      <x:c r="C23" s="18"/>
      <x:c r="D23" s="18"/>
      <x:c r="E23" s="18"/>
      <x:c r="F23" s="18"/>
      <x:c r="G23" s="18"/>
      <x:c r="H23" s="18"/>
    </x:row>
    <x:row r="24">
      <x:c r="A24" s="18"/>
      <x:c r="B24" s="18"/>
      <x:c r="C24" s="18"/>
      <x:c r="D24" s="18"/>
      <x:c r="E24" s="18"/>
      <x:c r="F24" s="18"/>
      <x:c r="G24" s="18"/>
      <x:c r="H24" s="18"/>
    </x:row>
    <x:row r="25">
      <x:c r="A25" s="18"/>
      <x:c r="B25" s="18"/>
      <x:c r="C25" s="18"/>
      <x:c r="D25" s="18"/>
      <x:c r="E25" s="18"/>
      <x:c r="F25" s="18"/>
      <x:c r="G25" s="18"/>
      <x:c r="H25" s="18"/>
    </x:row>
    <x:row r="26">
      <x:c r="A26" s="18"/>
      <x:c r="B26" s="18"/>
      <x:c r="C26" s="18"/>
      <x:c r="D26" s="18"/>
      <x:c r="E26" s="18"/>
      <x:c r="F26" s="18"/>
      <x:c r="G26" s="18"/>
      <x:c r="H26" s="18"/>
    </x:row>
    <x:row r="27">
      <x:c r="A27" s="18"/>
      <x:c r="B27" s="18"/>
      <x:c r="C27" s="18"/>
      <x:c r="D27" s="18"/>
      <x:c r="E27" s="18"/>
      <x:c r="F27" s="18"/>
      <x:c r="G27" s="18"/>
      <x:c r="H27" s="18"/>
    </x:row>
    <x:row r="28">
      <x:c r="A28" s="18"/>
      <x:c r="B28" s="18"/>
      <x:c r="C28" s="18"/>
      <x:c r="D28" s="18"/>
      <x:c r="E28" s="18"/>
      <x:c r="F28" s="18"/>
      <x:c r="G28" s="18"/>
      <x:c r="H28" s="18"/>
    </x:row>
    <x:row r="29">
      <x:c r="A29" s="18"/>
      <x:c r="B29" s="18"/>
      <x:c r="C29" s="18"/>
      <x:c r="D29" s="18"/>
      <x:c r="E29" s="18"/>
      <x:c r="F29" s="18"/>
      <x:c r="G29" s="18"/>
      <x:c r="H29" s="18"/>
    </x:row>
    <x:row r="30">
      <x:c r="A30" s="18"/>
      <x:c r="B30" s="18"/>
      <x:c r="C30" s="18"/>
      <x:c r="D30" s="18"/>
      <x:c r="E30" s="18"/>
      <x:c r="F30" s="18"/>
      <x:c r="G30" s="18"/>
      <x:c r="H30" s="18"/>
    </x:row>
    <x:row r="31">
      <x:c r="A31" s="18"/>
      <x:c r="B31" s="18"/>
      <x:c r="C31" s="18"/>
      <x:c r="D31" s="18"/>
      <x:c r="E31" s="18"/>
      <x:c r="F31" s="18"/>
      <x:c r="G31" s="18"/>
      <x:c r="H31" s="18"/>
    </x:row>
    <x:row r="32">
      <x:c r="A32" s="18"/>
      <x:c r="B32" s="18"/>
      <x:c r="C32" s="18"/>
      <x:c r="D32" s="18"/>
      <x:c r="E32" s="18"/>
      <x:c r="F32" s="18"/>
      <x:c r="G32" s="18"/>
      <x:c r="H32" s="18"/>
    </x:row>
    <x:row r="33">
      <x:c r="A33" s="18"/>
      <x:c r="B33" s="18"/>
      <x:c r="C33" s="18"/>
      <x:c r="D33" s="18"/>
      <x:c r="E33" s="18"/>
      <x:c r="F33" s="18"/>
      <x:c r="G33" s="18"/>
      <x:c r="H33" s="18"/>
    </x:row>
    <x:row r="34">
      <x:c r="A34" s="18"/>
      <x:c r="B34" s="18"/>
      <x:c r="C34" s="18"/>
      <x:c r="D34" s="18"/>
      <x:c r="E34" s="18"/>
      <x:c r="F34" s="18"/>
      <x:c r="G34" s="18"/>
      <x:c r="H34" s="18"/>
    </x:row>
    <x:row r="35">
      <x:c r="A35" s="18"/>
      <x:c r="B35" s="18"/>
      <x:c r="C35" s="18"/>
      <x:c r="D35" s="18"/>
      <x:c r="E35" s="18"/>
      <x:c r="F35" s="18"/>
      <x:c r="G35" s="18"/>
      <x:c r="H35" s="18"/>
    </x:row>
    <x:row r="36">
      <x:c r="A36" s="18"/>
      <x:c r="B36" s="18"/>
      <x:c r="C36" s="18"/>
      <x:c r="D36" s="18"/>
      <x:c r="E36" s="18"/>
      <x:c r="F36" s="18"/>
      <x:c r="G36" s="18"/>
      <x:c r="H36" s="18"/>
    </x:row>
    <x:row r="37">
      <x:c r="A37" s="18"/>
      <x:c r="B37" s="18"/>
      <x:c r="C37" s="18"/>
      <x:c r="D37" s="18"/>
      <x:c r="E37" s="18"/>
      <x:c r="F37" s="18"/>
      <x:c r="G37" s="18"/>
      <x:c r="H37" s="18"/>
    </x:row>
    <x:row r="38">
      <x:c r="A38" s="18"/>
      <x:c r="B38" s="18"/>
      <x:c r="C38" s="18"/>
      <x:c r="D38" s="18"/>
      <x:c r="E38" s="18"/>
      <x:c r="F38" s="18"/>
      <x:c r="G38" s="18"/>
      <x:c r="H38" s="18"/>
    </x:row>
    <x:row r="39">
      <x:c r="A39" s="18"/>
      <x:c r="B39" s="18"/>
      <x:c r="C39" s="18"/>
      <x:c r="D39" s="18"/>
      <x:c r="E39" s="18"/>
      <x:c r="F39" s="18"/>
      <x:c r="G39" s="18"/>
      <x:c r="H39" s="18"/>
    </x:row>
    <x:row r="40">
      <x:c r="A40" s="18"/>
      <x:c r="B40" s="18"/>
      <x:c r="C40" s="18"/>
      <x:c r="D40" s="18"/>
      <x:c r="E40" s="18"/>
      <x:c r="F40" s="18"/>
      <x:c r="G40" s="18"/>
      <x:c r="H40" s="18"/>
    </x:row>
    <x:row r="41">
      <x:c r="A41" s="18"/>
      <x:c r="B41" s="18"/>
      <x:c r="C41" s="18"/>
      <x:c r="D41" s="18"/>
      <x:c r="E41" s="18"/>
      <x:c r="F41" s="18"/>
      <x:c r="G41" s="18"/>
      <x:c r="H41" s="18"/>
    </x:row>
    <x:row r="42">
      <x:c r="A42" s="18"/>
      <x:c r="B42" s="18"/>
      <x:c r="C42" s="18"/>
      <x:c r="D42" s="18"/>
      <x:c r="E42" s="18"/>
      <x:c r="F42" s="18"/>
      <x:c r="G42" s="18"/>
      <x:c r="H42" s="18"/>
    </x:row>
    <x:row r="43">
      <x:c r="A43" s="18"/>
      <x:c r="B43" s="18"/>
      <x:c r="C43" s="18"/>
      <x:c r="D43" s="18"/>
      <x:c r="E43" s="18"/>
      <x:c r="F43" s="18"/>
      <x:c r="G43" s="18"/>
      <x:c r="H43" s="18"/>
    </x:row>
    <x:row r="44">
      <x:c r="A44" s="18"/>
      <x:c r="B44" s="18"/>
      <x:c r="C44" s="18"/>
      <x:c r="D44" s="18"/>
      <x:c r="E44" s="18"/>
      <x:c r="F44" s="18"/>
      <x:c r="G44" s="18"/>
      <x:c r="H44" s="18"/>
    </x:row>
    <x:row r="45">
      <x:c r="A45" s="18"/>
      <x:c r="B45" s="18"/>
      <x:c r="C45" s="18"/>
      <x:c r="D45" s="18"/>
      <x:c r="E45" s="18"/>
      <x:c r="F45" s="18"/>
      <x:c r="G45" s="18"/>
      <x:c r="H45" s="18"/>
    </x:row>
    <x:row r="46">
      <x:c r="A46" s="18"/>
      <x:c r="B46" s="18"/>
      <x:c r="C46" s="18"/>
      <x:c r="D46" s="18"/>
      <x:c r="E46" s="18"/>
      <x:c r="F46" s="18"/>
      <x:c r="G46" s="18"/>
      <x:c r="H46" s="18"/>
    </x:row>
    <x:row r="47">
      <x:c r="A47" s="18"/>
      <x:c r="B47" s="18"/>
      <x:c r="C47" s="18"/>
      <x:c r="D47" s="18"/>
      <x:c r="E47" s="18"/>
      <x:c r="F47" s="18"/>
      <x:c r="G47" s="18"/>
      <x:c r="H47" s="18"/>
    </x:row>
    <x:row r="48">
      <x:c r="A48" s="18"/>
      <x:c r="B48" s="18"/>
      <x:c r="C48" s="18"/>
      <x:c r="D48" s="18"/>
      <x:c r="E48" s="18"/>
      <x:c r="F48" s="18"/>
      <x:c r="G48" s="18"/>
      <x:c r="H48" s="18"/>
    </x:row>
    <x:row r="49">
      <x:c r="A49" s="18"/>
      <x:c r="B49" s="18"/>
      <x:c r="C49" s="18"/>
      <x:c r="D49" s="18"/>
      <x:c r="E49" s="18"/>
      <x:c r="F49" s="18"/>
      <x:c r="G49" s="18"/>
      <x:c r="H49" s="18"/>
    </x:row>
    <x:row r="50">
      <x:c r="A50" s="18"/>
      <x:c r="B50" s="18"/>
      <x:c r="C50" s="18"/>
      <x:c r="D50" s="18"/>
      <x:c r="E50" s="18"/>
      <x:c r="F50" s="18"/>
      <x:c r="G50" s="18"/>
      <x:c r="H50" s="18"/>
    </x:row>
    <x:row r="51">
      <x:c r="A51" s="18"/>
      <x:c r="B51" s="18"/>
      <x:c r="C51" s="18"/>
      <x:c r="D51" s="18"/>
      <x:c r="E51" s="18"/>
      <x:c r="F51" s="18"/>
      <x:c r="G51" s="18"/>
      <x:c r="H51" s="18"/>
    </x:row>
    <x:row r="52">
      <x:c r="A52" s="18"/>
      <x:c r="B52" s="18"/>
      <x:c r="C52" s="18"/>
      <x:c r="D52" s="18"/>
      <x:c r="E52" s="18"/>
      <x:c r="F52" s="18"/>
      <x:c r="G52" s="18"/>
      <x:c r="H52" s="18"/>
    </x:row>
    <x:row r="53">
      <x:c r="A53" s="18"/>
      <x:c r="B53" s="18"/>
      <x:c r="C53" s="18"/>
      <x:c r="D53" s="18"/>
      <x:c r="E53" s="18"/>
      <x:c r="F53" s="18"/>
      <x:c r="G53" s="18"/>
      <x:c r="H53" s="18"/>
    </x:row>
    <x:row r="54">
      <x:c r="A54" s="18"/>
      <x:c r="B54" s="18"/>
      <x:c r="C54" s="18"/>
      <x:c r="D54" s="18"/>
      <x:c r="E54" s="18"/>
      <x:c r="F54" s="18"/>
      <x:c r="G54" s="18"/>
      <x:c r="H54" s="18"/>
    </x:row>
    <x:row r="55">
      <x:c r="A55" s="18"/>
      <x:c r="B55" s="18"/>
      <x:c r="C55" s="18"/>
      <x:c r="D55" s="18"/>
      <x:c r="E55" s="18"/>
      <x:c r="F55" s="18"/>
      <x:c r="G55" s="18"/>
      <x:c r="H55" s="18"/>
    </x:row>
    <x:row r="56">
      <x:c r="A56" s="18"/>
      <x:c r="B56" s="18"/>
      <x:c r="C56" s="18"/>
      <x:c r="D56" s="18"/>
      <x:c r="E56" s="18"/>
      <x:c r="F56" s="18"/>
      <x:c r="G56" s="18"/>
      <x:c r="H56" s="18"/>
    </x:row>
    <x:row r="57">
      <x:c r="A57" s="18"/>
      <x:c r="B57" s="18"/>
      <x:c r="C57" s="18"/>
      <x:c r="D57" s="18"/>
      <x:c r="E57" s="18"/>
      <x:c r="F57" s="18"/>
      <x:c r="G57" s="18"/>
      <x:c r="H57" s="18"/>
    </x:row>
    <x:row r="58">
      <x:c r="A58" s="18"/>
      <x:c r="B58" s="18"/>
      <x:c r="C58" s="18"/>
      <x:c r="D58" s="18"/>
      <x:c r="E58" s="18"/>
      <x:c r="F58" s="18"/>
      <x:c r="G58" s="18"/>
      <x:c r="H58" s="18"/>
    </x:row>
    <x:row r="59">
      <x:c r="A59" s="18"/>
      <x:c r="B59" s="18"/>
      <x:c r="C59" s="18"/>
      <x:c r="D59" s="18"/>
      <x:c r="E59" s="18"/>
      <x:c r="F59" s="18"/>
      <x:c r="G59" s="18"/>
      <x:c r="H59" s="18"/>
    </x:row>
    <x:row r="60">
      <x:c r="A60" s="18"/>
      <x:c r="B60" s="18"/>
      <x:c r="C60" s="18"/>
      <x:c r="D60" s="18"/>
      <x:c r="E60" s="18"/>
      <x:c r="F60" s="18"/>
      <x:c r="G60" s="18"/>
      <x:c r="H60" s="18"/>
    </x:row>
    <x:row r="61">
      <x:c r="A61" s="18"/>
      <x:c r="B61" s="18"/>
      <x:c r="C61" s="18"/>
      <x:c r="D61" s="18"/>
      <x:c r="E61" s="18"/>
      <x:c r="F61" s="18"/>
      <x:c r="G61" s="18"/>
      <x:c r="H61" s="18"/>
    </x:row>
    <x:row r="62">
      <x:c r="A62" s="18"/>
      <x:c r="B62" s="18"/>
      <x:c r="C62" s="18"/>
      <x:c r="D62" s="18"/>
      <x:c r="E62" s="18"/>
      <x:c r="F62" s="18"/>
      <x:c r="G62" s="18"/>
      <x:c r="H62" s="18"/>
    </x:row>
    <x:row r="63">
      <x:c r="A63" s="18"/>
      <x:c r="B63" s="18"/>
      <x:c r="C63" s="18"/>
      <x:c r="D63" s="18"/>
      <x:c r="E63" s="18"/>
      <x:c r="F63" s="18"/>
      <x:c r="G63" s="18"/>
      <x:c r="H63" s="18"/>
    </x:row>
    <x:row r="64">
      <x:c r="A64" s="18"/>
      <x:c r="B64" s="18"/>
      <x:c r="C64" s="18"/>
      <x:c r="D64" s="18"/>
      <x:c r="E64" s="18"/>
      <x:c r="F64" s="18"/>
      <x:c r="G64" s="18"/>
      <x:c r="H64" s="18"/>
    </x:row>
    <x:row r="65">
      <x:c r="A65" s="18"/>
      <x:c r="B65" s="18"/>
      <x:c r="C65" s="18"/>
      <x:c r="D65" s="18"/>
      <x:c r="E65" s="18"/>
      <x:c r="F65" s="18"/>
      <x:c r="G65" s="18"/>
      <x:c r="H65" s="18"/>
    </x:row>
    <x:row r="66">
      <x:c r="A66" s="18"/>
      <x:c r="B66" s="18"/>
      <x:c r="C66" s="18"/>
      <x:c r="D66" s="18"/>
      <x:c r="E66" s="18"/>
      <x:c r="F66" s="18"/>
      <x:c r="G66" s="18"/>
      <x:c r="H66" s="18"/>
    </x:row>
    <x:row r="67">
      <x:c r="A67" s="18"/>
      <x:c r="B67" s="18"/>
      <x:c r="C67" s="18"/>
      <x:c r="D67" s="18"/>
      <x:c r="E67" s="18"/>
      <x:c r="F67" s="18"/>
      <x:c r="G67" s="18"/>
      <x:c r="H67" s="18"/>
    </x:row>
    <x:row r="68">
      <x:c r="A68" s="18"/>
      <x:c r="B68" s="18"/>
      <x:c r="C68" s="18"/>
      <x:c r="D68" s="18"/>
      <x:c r="E68" s="18"/>
      <x:c r="F68" s="18"/>
      <x:c r="G68" s="18"/>
      <x:c r="H68" s="18"/>
    </x:row>
    <x:row r="69">
      <x:c r="A69" s="18"/>
      <x:c r="B69" s="18"/>
      <x:c r="C69" s="18"/>
      <x:c r="D69" s="18"/>
      <x:c r="E69" s="18"/>
      <x:c r="F69" s="18"/>
      <x:c r="G69" s="18"/>
      <x:c r="H69" s="18"/>
    </x:row>
    <x:row r="70">
      <x:c r="A70" s="18"/>
      <x:c r="B70" s="18"/>
      <x:c r="C70" s="18"/>
      <x:c r="D70" s="18"/>
      <x:c r="E70" s="18"/>
      <x:c r="F70" s="18"/>
      <x:c r="G70" s="18"/>
      <x:c r="H70" s="18"/>
    </x:row>
    <x:row r="71">
      <x:c r="A71" s="18"/>
      <x:c r="B71" s="18"/>
      <x:c r="C71" s="18"/>
      <x:c r="D71" s="18"/>
      <x:c r="E71" s="18"/>
      <x:c r="F71" s="18"/>
      <x:c r="G71" s="18"/>
      <x:c r="H71" s="18"/>
    </x:row>
    <x:row r="72">
      <x:c r="A72" s="18"/>
      <x:c r="B72" s="18"/>
      <x:c r="C72" s="18"/>
      <x:c r="D72" s="18"/>
      <x:c r="E72" s="18"/>
      <x:c r="F72" s="18"/>
      <x:c r="G72" s="18"/>
      <x:c r="H72" s="18"/>
    </x:row>
    <x:row r="73">
      <x:c r="A73" s="18"/>
      <x:c r="B73" s="18"/>
      <x:c r="C73" s="18"/>
      <x:c r="D73" s="18"/>
      <x:c r="E73" s="18"/>
      <x:c r="F73" s="18"/>
      <x:c r="G73" s="18"/>
      <x:c r="H73" s="18"/>
    </x:row>
    <x:row r="74">
      <x:c r="A74" s="18"/>
      <x:c r="B74" s="18"/>
      <x:c r="C74" s="18"/>
      <x:c r="D74" s="18"/>
      <x:c r="E74" s="18"/>
      <x:c r="F74" s="18"/>
      <x:c r="G74" s="18"/>
      <x:c r="H74" s="18"/>
    </x:row>
    <x:row r="75">
      <x:c r="A75" s="18"/>
      <x:c r="B75" s="18"/>
      <x:c r="C75" s="18"/>
      <x:c r="D75" s="18"/>
      <x:c r="E75" s="18"/>
      <x:c r="F75" s="18"/>
      <x:c r="G75" s="18"/>
      <x:c r="H75" s="18"/>
    </x:row>
    <x:row r="76">
      <x:c r="A76" s="18"/>
      <x:c r="B76" s="18"/>
      <x:c r="C76" s="18"/>
      <x:c r="D76" s="18"/>
      <x:c r="E76" s="18"/>
      <x:c r="F76" s="18"/>
      <x:c r="G76" s="18"/>
      <x:c r="H76" s="18"/>
    </x:row>
    <x:row r="77">
      <x:c r="A77" s="18"/>
      <x:c r="B77" s="18"/>
      <x:c r="C77" s="18"/>
      <x:c r="D77" s="18"/>
      <x:c r="E77" s="18"/>
      <x:c r="F77" s="18"/>
      <x:c r="G77" s="18"/>
      <x:c r="H77" s="18"/>
    </x:row>
    <x:row r="78">
      <x:c r="A78" s="18"/>
      <x:c r="B78" s="18"/>
      <x:c r="C78" s="18"/>
      <x:c r="D78" s="18"/>
      <x:c r="E78" s="18"/>
      <x:c r="F78" s="18"/>
      <x:c r="G78" s="18"/>
      <x:c r="H78" s="18"/>
    </x:row>
    <x:row r="79">
      <x:c r="A79" s="18"/>
      <x:c r="B79" s="18"/>
      <x:c r="C79" s="18"/>
      <x:c r="D79" s="18"/>
      <x:c r="E79" s="18"/>
      <x:c r="F79" s="18"/>
      <x:c r="G79" s="18"/>
      <x:c r="H79" s="18"/>
    </x:row>
    <x:row r="80">
      <x:c r="A80" s="18"/>
      <x:c r="B80" s="18"/>
      <x:c r="C80" s="18"/>
      <x:c r="D80" s="18"/>
      <x:c r="E80" s="18"/>
      <x:c r="F80" s="18"/>
      <x:c r="G80" s="18"/>
      <x:c r="H80" s="18"/>
    </x:row>
    <x:row r="81">
      <x:c r="A81" s="18"/>
      <x:c r="B81" s="18"/>
      <x:c r="C81" s="18"/>
      <x:c r="D81" s="18"/>
      <x:c r="E81" s="18"/>
      <x:c r="F81" s="18"/>
      <x:c r="G81" s="18"/>
      <x:c r="H81" s="18"/>
    </x:row>
    <x:row r="82">
      <x:c r="A82" s="18"/>
      <x:c r="B82" s="18"/>
      <x:c r="C82" s="18"/>
      <x:c r="D82" s="18"/>
      <x:c r="E82" s="18"/>
      <x:c r="F82" s="18"/>
      <x:c r="G82" s="18"/>
      <x:c r="H82" s="18"/>
    </x:row>
    <x:row r="83">
      <x:c r="A83" s="18"/>
      <x:c r="B83" s="18"/>
      <x:c r="C83" s="18"/>
      <x:c r="D83" s="18"/>
      <x:c r="E83" s="18"/>
      <x:c r="F83" s="18"/>
      <x:c r="G83" s="18"/>
      <x:c r="H83" s="18"/>
    </x:row>
    <x:row r="84">
      <x:c r="A84" s="18"/>
      <x:c r="B84" s="18"/>
      <x:c r="C84" s="18"/>
      <x:c r="D84" s="18"/>
      <x:c r="E84" s="18"/>
      <x:c r="F84" s="18"/>
      <x:c r="G84" s="18"/>
      <x:c r="H84" s="18"/>
    </x:row>
    <x:row r="85">
      <x:c r="A85" s="18"/>
      <x:c r="B85" s="18"/>
      <x:c r="C85" s="18"/>
      <x:c r="D85" s="18"/>
      <x:c r="E85" s="18"/>
      <x:c r="F85" s="18"/>
      <x:c r="G85" s="18"/>
      <x:c r="H85" s="18"/>
    </x:row>
    <x:row r="86">
      <x:c r="A86" s="18"/>
      <x:c r="B86" s="18"/>
      <x:c r="C86" s="18"/>
      <x:c r="D86" s="18"/>
      <x:c r="E86" s="18"/>
      <x:c r="F86" s="18"/>
      <x:c r="G86" s="18"/>
      <x:c r="H86" s="18"/>
    </x:row>
    <x:row r="87">
      <x:c r="A87" s="18"/>
      <x:c r="B87" s="18"/>
      <x:c r="C87" s="18"/>
      <x:c r="D87" s="18"/>
      <x:c r="E87" s="18"/>
      <x:c r="F87" s="18"/>
      <x:c r="G87" s="18"/>
      <x:c r="H87" s="18"/>
    </x:row>
    <x:row r="88">
      <x:c r="A88" s="18"/>
      <x:c r="B88" s="18"/>
      <x:c r="C88" s="18"/>
      <x:c r="D88" s="18"/>
      <x:c r="E88" s="18"/>
      <x:c r="F88" s="18"/>
      <x:c r="G88" s="18"/>
      <x:c r="H88" s="18"/>
    </x:row>
    <x:row r="89">
      <x:c r="A89" s="18"/>
      <x:c r="B89" s="18"/>
      <x:c r="C89" s="18"/>
      <x:c r="D89" s="18"/>
      <x:c r="E89" s="18"/>
      <x:c r="F89" s="18"/>
      <x:c r="G89" s="18"/>
      <x:c r="H89" s="18"/>
    </x:row>
    <x:row r="90">
      <x:c r="A90" s="18"/>
      <x:c r="B90" s="18"/>
      <x:c r="C90" s="18"/>
      <x:c r="D90" s="18"/>
      <x:c r="E90" s="18"/>
      <x:c r="F90" s="18"/>
      <x:c r="G90" s="18"/>
      <x:c r="H90" s="18"/>
    </x:row>
    <x:row r="91">
      <x:c r="A91" s="18"/>
      <x:c r="B91" s="18"/>
      <x:c r="C91" s="18"/>
      <x:c r="D91" s="18"/>
      <x:c r="E91" s="18"/>
      <x:c r="F91" s="18"/>
      <x:c r="G91" s="18"/>
      <x:c r="H91" s="18"/>
    </x:row>
    <x:row r="92">
      <x:c r="A92" s="18"/>
      <x:c r="B92" s="18"/>
      <x:c r="C92" s="18"/>
      <x:c r="D92" s="18"/>
      <x:c r="E92" s="18"/>
      <x:c r="F92" s="18"/>
      <x:c r="G92" s="18"/>
      <x:c r="H92" s="18"/>
    </x:row>
    <x:row r="93">
      <x:c r="A93" s="18"/>
      <x:c r="B93" s="18"/>
      <x:c r="C93" s="18"/>
      <x:c r="D93" s="18"/>
      <x:c r="E93" s="18"/>
      <x:c r="F93" s="18"/>
      <x:c r="G93" s="18"/>
      <x:c r="H93" s="18"/>
    </x:row>
    <x:row r="94">
      <x:c r="A94" s="18"/>
      <x:c r="B94" s="18"/>
      <x:c r="C94" s="18"/>
      <x:c r="D94" s="18"/>
      <x:c r="E94" s="18"/>
      <x:c r="F94" s="18"/>
      <x:c r="G94" s="18"/>
      <x:c r="H94" s="18"/>
    </x:row>
    <x:row r="95">
      <x:c r="A95" s="18"/>
      <x:c r="B95" s="18"/>
      <x:c r="C95" s="18"/>
      <x:c r="D95" s="18"/>
      <x:c r="E95" s="18"/>
      <x:c r="F95" s="18"/>
      <x:c r="G95" s="18"/>
      <x:c r="H95" s="18"/>
    </x:row>
    <x:row r="96">
      <x:c r="A96" s="18"/>
      <x:c r="B96" s="18"/>
      <x:c r="C96" s="18"/>
      <x:c r="D96" s="18"/>
      <x:c r="E96" s="18"/>
      <x:c r="F96" s="18"/>
      <x:c r="G96" s="18"/>
      <x:c r="H96" s="18"/>
    </x:row>
    <x:row r="97">
      <x:c r="A97" s="18"/>
      <x:c r="B97" s="18"/>
      <x:c r="C97" s="18"/>
      <x:c r="D97" s="18"/>
      <x:c r="E97" s="18"/>
      <x:c r="F97" s="18"/>
      <x:c r="G97" s="18"/>
      <x:c r="H97" s="18"/>
    </x:row>
    <x:row r="98">
      <x:c r="A98" s="18"/>
      <x:c r="B98" s="18"/>
      <x:c r="C98" s="18"/>
      <x:c r="D98" s="18"/>
      <x:c r="E98" s="18"/>
      <x:c r="F98" s="18"/>
      <x:c r="G98" s="18"/>
      <x:c r="H98" s="18"/>
    </x:row>
    <x:row r="99">
      <x:c r="A99" s="18"/>
      <x:c r="B99" s="18"/>
      <x:c r="C99" s="18"/>
      <x:c r="D99" s="18"/>
      <x:c r="E99" s="18"/>
      <x:c r="F99" s="18"/>
      <x:c r="G99" s="18"/>
      <x:c r="H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</x:row>
  </x:sheetData>
  <x:pageMargins left="0.7" right="0.7" top="0.75" bottom="0.75" header="0.3" footer="0.3"/>
</x:worksheet>
</file>